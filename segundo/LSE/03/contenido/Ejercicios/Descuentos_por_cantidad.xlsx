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lanoscuenca/Documents/DOCENCIA/LSE -MUIINF/Logistica/"/>
    </mc:Choice>
  </mc:AlternateContent>
  <xr:revisionPtr revIDLastSave="0" documentId="13_ncr:1_{6844E6A4-B19D-4F44-83F1-B2B5D949AD4E}" xr6:coauthVersionLast="47" xr6:coauthVersionMax="47" xr10:uidLastSave="{00000000-0000-0000-0000-000000000000}"/>
  <bookViews>
    <workbookView xWindow="4340" yWindow="1600" windowWidth="10000" windowHeight="16100" firstSheet="1" activeTab="5" xr2:uid="{3A9497F5-4569-DD45-98C9-2B2F172281E5}"/>
  </bookViews>
  <sheets>
    <sheet name="EJERCICIO DESCUENTOS COCHES PPT" sheetId="1" r:id="rId1"/>
    <sheet name="EJERCICIO DESCUENTOS AVTEK AULA" sheetId="2" r:id="rId2"/>
    <sheet name="EJERCICIO DESCUENTOS CRYSTALIER" sheetId="4" r:id="rId3"/>
    <sheet name="EJERCICIO DESCUENTOS CRYSTA (2)" sheetId="7" r:id="rId4"/>
    <sheet name="EJERCICIO DESCUENTOS BODEGA" sheetId="5" r:id="rId5"/>
    <sheet name="EJERCICIO DESCUENTOS COMP.IND" sheetId="6" r:id="rId6"/>
  </sheets>
  <definedNames>
    <definedName name="sencount" hidden="1">4</definedName>
    <definedName name="sencount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7" l="1"/>
  <c r="G16" i="7"/>
  <c r="B16" i="7"/>
  <c r="F16" i="7" s="1"/>
  <c r="K15" i="7"/>
  <c r="J15" i="7"/>
  <c r="I15" i="7"/>
  <c r="H15" i="7"/>
  <c r="G15" i="7"/>
  <c r="F15" i="7"/>
  <c r="B15" i="7"/>
  <c r="B14" i="7"/>
  <c r="H14" i="7" s="1"/>
  <c r="H13" i="7"/>
  <c r="F13" i="7"/>
  <c r="G13" i="7" s="1"/>
  <c r="B13" i="7"/>
  <c r="B12" i="7"/>
  <c r="H12" i="7" s="1"/>
  <c r="I13" i="7" l="1"/>
  <c r="J13" i="7"/>
  <c r="K13" i="7"/>
  <c r="H16" i="7"/>
  <c r="J16" i="7"/>
  <c r="K16" i="7"/>
  <c r="F12" i="7"/>
  <c r="G12" i="7" s="1"/>
  <c r="I12" i="7" s="1"/>
  <c r="F14" i="7"/>
  <c r="G14" i="7" s="1"/>
  <c r="I14" i="7" s="1"/>
  <c r="J14" i="7" l="1"/>
  <c r="K14" i="7" s="1"/>
  <c r="J12" i="7"/>
  <c r="K12" i="7" s="1"/>
  <c r="E20" i="7" s="1"/>
  <c r="E19" i="7" s="1"/>
  <c r="D25" i="7" s="1"/>
  <c r="D26" i="7" s="1"/>
  <c r="F26" i="7" s="1"/>
  <c r="I16" i="6" l="1"/>
  <c r="G16" i="6"/>
  <c r="B16" i="6"/>
  <c r="H16" i="6" s="1"/>
  <c r="K15" i="6"/>
  <c r="J15" i="6"/>
  <c r="I15" i="6"/>
  <c r="H15" i="6"/>
  <c r="G15" i="6"/>
  <c r="B15" i="6"/>
  <c r="F15" i="6" s="1"/>
  <c r="B14" i="6"/>
  <c r="H14" i="6" s="1"/>
  <c r="H13" i="6"/>
  <c r="B13" i="6"/>
  <c r="F13" i="6" s="1"/>
  <c r="G13" i="6" s="1"/>
  <c r="B12" i="6"/>
  <c r="I16" i="5"/>
  <c r="G16" i="5"/>
  <c r="B16" i="5"/>
  <c r="J16" i="5" s="1"/>
  <c r="K15" i="5"/>
  <c r="J15" i="5"/>
  <c r="I15" i="5"/>
  <c r="H15" i="5"/>
  <c r="G15" i="5"/>
  <c r="F15" i="5"/>
  <c r="B15" i="5"/>
  <c r="B14" i="5"/>
  <c r="H13" i="5"/>
  <c r="F13" i="5"/>
  <c r="G13" i="5" s="1"/>
  <c r="J13" i="5" s="1"/>
  <c r="B13" i="5"/>
  <c r="B12" i="5"/>
  <c r="I16" i="4"/>
  <c r="G16" i="4"/>
  <c r="B16" i="4"/>
  <c r="F16" i="4" s="1"/>
  <c r="K15" i="4"/>
  <c r="J15" i="4"/>
  <c r="I15" i="4"/>
  <c r="H15" i="4"/>
  <c r="G15" i="4"/>
  <c r="B15" i="4"/>
  <c r="F15" i="4" s="1"/>
  <c r="B14" i="4"/>
  <c r="H14" i="4" s="1"/>
  <c r="H13" i="4"/>
  <c r="B13" i="4"/>
  <c r="F13" i="4" s="1"/>
  <c r="G13" i="4" s="1"/>
  <c r="B12" i="4"/>
  <c r="F12" i="4" s="1"/>
  <c r="G12" i="4" s="1"/>
  <c r="I12" i="4" s="1"/>
  <c r="I16" i="2"/>
  <c r="G16" i="2"/>
  <c r="B16" i="2"/>
  <c r="K16" i="2" s="1"/>
  <c r="I15" i="2"/>
  <c r="G15" i="2"/>
  <c r="B15" i="2"/>
  <c r="F15" i="2" s="1"/>
  <c r="B14" i="2"/>
  <c r="B13" i="2"/>
  <c r="F13" i="2" s="1"/>
  <c r="G13" i="2" s="1"/>
  <c r="B12" i="2"/>
  <c r="H12" i="2" s="1"/>
  <c r="K16" i="1"/>
  <c r="I16" i="1"/>
  <c r="G16" i="1"/>
  <c r="B16" i="1"/>
  <c r="F16" i="1" s="1"/>
  <c r="I15" i="1"/>
  <c r="G15" i="1"/>
  <c r="B15" i="1"/>
  <c r="H15" i="1" s="1"/>
  <c r="B14" i="1"/>
  <c r="F14" i="1" s="1"/>
  <c r="G14" i="1" s="1"/>
  <c r="B13" i="1"/>
  <c r="B12" i="1"/>
  <c r="F12" i="1" s="1"/>
  <c r="G12" i="1" s="1"/>
  <c r="J13" i="6" l="1"/>
  <c r="I13" i="6"/>
  <c r="J16" i="6"/>
  <c r="F16" i="6"/>
  <c r="K16" i="6"/>
  <c r="F14" i="6"/>
  <c r="G14" i="6" s="1"/>
  <c r="I14" i="6" s="1"/>
  <c r="H12" i="6"/>
  <c r="F12" i="6"/>
  <c r="G12" i="6" s="1"/>
  <c r="I12" i="6" s="1"/>
  <c r="K16" i="5"/>
  <c r="I13" i="5"/>
  <c r="K13" i="5" s="1"/>
  <c r="F12" i="5"/>
  <c r="G12" i="5" s="1"/>
  <c r="I12" i="5" s="1"/>
  <c r="F14" i="5"/>
  <c r="G14" i="5" s="1"/>
  <c r="I14" i="5" s="1"/>
  <c r="F16" i="5"/>
  <c r="H12" i="5"/>
  <c r="H14" i="5"/>
  <c r="H16" i="5"/>
  <c r="J13" i="4"/>
  <c r="I13" i="4"/>
  <c r="K13" i="4" s="1"/>
  <c r="H12" i="4"/>
  <c r="H16" i="4"/>
  <c r="K16" i="4"/>
  <c r="J12" i="4"/>
  <c r="J16" i="4"/>
  <c r="K12" i="4"/>
  <c r="F14" i="4"/>
  <c r="G14" i="4" s="1"/>
  <c r="I14" i="4" s="1"/>
  <c r="K15" i="2"/>
  <c r="H13" i="2"/>
  <c r="H15" i="2"/>
  <c r="J15" i="2"/>
  <c r="H16" i="1"/>
  <c r="H14" i="1"/>
  <c r="H12" i="1"/>
  <c r="J16" i="1"/>
  <c r="J14" i="1"/>
  <c r="I14" i="1"/>
  <c r="K14" i="1" s="1"/>
  <c r="J13" i="2"/>
  <c r="I13" i="2"/>
  <c r="K13" i="2" s="1"/>
  <c r="J12" i="1"/>
  <c r="I12" i="1"/>
  <c r="K12" i="1" s="1"/>
  <c r="F16" i="2"/>
  <c r="J15" i="1"/>
  <c r="H16" i="2"/>
  <c r="K15" i="1"/>
  <c r="J16" i="2"/>
  <c r="F15" i="1"/>
  <c r="F12" i="2"/>
  <c r="G12" i="2" s="1"/>
  <c r="I12" i="2" s="1"/>
  <c r="F14" i="2"/>
  <c r="G14" i="2" s="1"/>
  <c r="I14" i="2" s="1"/>
  <c r="H14" i="2"/>
  <c r="H13" i="1"/>
  <c r="F13" i="1"/>
  <c r="G13" i="1" s="1"/>
  <c r="I13" i="1" s="1"/>
  <c r="K13" i="6" l="1"/>
  <c r="J14" i="6"/>
  <c r="K14" i="6" s="1"/>
  <c r="J12" i="6"/>
  <c r="K12" i="6" s="1"/>
  <c r="J14" i="5"/>
  <c r="K14" i="5" s="1"/>
  <c r="J12" i="5"/>
  <c r="K12" i="5" s="1"/>
  <c r="J14" i="4"/>
  <c r="K14" i="4" s="1"/>
  <c r="E20" i="4" s="1"/>
  <c r="E19" i="4" s="1"/>
  <c r="J12" i="2"/>
  <c r="K12" i="2" s="1"/>
  <c r="J13" i="1"/>
  <c r="K13" i="1" s="1"/>
  <c r="E20" i="1" s="1"/>
  <c r="E19" i="1" s="1"/>
  <c r="J14" i="2"/>
  <c r="K14" i="2" s="1"/>
  <c r="E20" i="2" s="1"/>
  <c r="E19" i="2" s="1"/>
  <c r="E20" i="6" l="1"/>
  <c r="E19" i="6" s="1"/>
  <c r="E20" i="5"/>
  <c r="E19" i="5" s="1"/>
</calcChain>
</file>

<file path=xl/sharedStrings.xml><?xml version="1.0" encoding="utf-8"?>
<sst xmlns="http://schemas.openxmlformats.org/spreadsheetml/2006/main" count="230" uniqueCount="39">
  <si>
    <t>EOQ Model with Quantity Discounts (Analytical)</t>
  </si>
  <si>
    <t>Data</t>
  </si>
  <si>
    <t>D =</t>
  </si>
  <si>
    <t>(demand/year)</t>
  </si>
  <si>
    <t>K =</t>
  </si>
  <si>
    <t>(setup cost)</t>
  </si>
  <si>
    <t>I =</t>
  </si>
  <si>
    <t>(inventory holding cost rate)</t>
  </si>
  <si>
    <t>COSTE DE INVENTARIO % DEL PRECIO DE VENTA</t>
  </si>
  <si>
    <t>N =</t>
  </si>
  <si>
    <t>(number of discount categories)</t>
  </si>
  <si>
    <t>PASO 3</t>
  </si>
  <si>
    <t>Annual</t>
  </si>
  <si>
    <t>Total</t>
  </si>
  <si>
    <t>Range of order quantities</t>
  </si>
  <si>
    <t>PASO 1</t>
  </si>
  <si>
    <t>PASO 2</t>
  </si>
  <si>
    <t>Purchase</t>
  </si>
  <si>
    <t>Setup</t>
  </si>
  <si>
    <t>Holding</t>
  </si>
  <si>
    <t>Variable</t>
  </si>
  <si>
    <t>Category</t>
  </si>
  <si>
    <t>Price</t>
  </si>
  <si>
    <t>Lower Limit</t>
  </si>
  <si>
    <t>Upper Limit</t>
  </si>
  <si>
    <t>EOQ</t>
  </si>
  <si>
    <t>Q*</t>
  </si>
  <si>
    <t>Cost</t>
  </si>
  <si>
    <t>Vasellin</t>
  </si>
  <si>
    <t>Boec</t>
  </si>
  <si>
    <t>Taiwan</t>
  </si>
  <si>
    <t>Results</t>
  </si>
  <si>
    <t>Optimal Q =</t>
  </si>
  <si>
    <t>Total Variable Cost =</t>
  </si>
  <si>
    <t>COSTE DE INVENTARIO FIJO</t>
  </si>
  <si>
    <t>Tiempo de suministro 3 meses</t>
  </si>
  <si>
    <t>f=D/Q</t>
  </si>
  <si>
    <t>Tr=</t>
  </si>
  <si>
    <t>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</si>
</sst>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"/>
  </numFmts>
  <fonts count="6">
    <font>
      <sz val="10"/>
      <name val="Geneva"/>
      <family val="2"/>
    </font>
    <font>
      <b/>
      <sz val="14"/>
      <name val="Helv"/>
    </font>
    <font>
      <sz val="10"/>
      <name val="Helv"/>
    </font>
    <font>
      <b/>
      <sz val="10"/>
      <name val="Helv"/>
    </font>
    <font>
      <sz val="10"/>
      <color rgb="FFFF0000"/>
      <name val="Helv"/>
    </font>
    <font>
      <sz val="10"/>
      <color theme="4"/>
      <name val="Helv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 applyAlignment="1">
      <alignment horizontal="right"/>
    </xf>
    <xf numFmtId="2" fontId="2" fillId="0" borderId="0" xfId="0" applyNumberFormat="1" applyFont="1" applyAlignment="1">
      <alignment horizontal="right"/>
    </xf>
    <xf numFmtId="0" fontId="2" fillId="0" borderId="4" xfId="0" applyFont="1" applyBorder="1" applyAlignment="1">
      <alignment horizontal="right"/>
    </xf>
    <xf numFmtId="164" fontId="2" fillId="2" borderId="0" xfId="0" applyNumberFormat="1" applyFont="1" applyFill="1" applyAlignment="1">
      <alignment horizontal="center"/>
    </xf>
    <xf numFmtId="0" fontId="2" fillId="0" borderId="5" xfId="0" applyFont="1" applyBorder="1" applyAlignment="1">
      <alignment horizontal="right"/>
    </xf>
    <xf numFmtId="0" fontId="2" fillId="2" borderId="0" xfId="0" applyFont="1" applyFill="1" applyAlignment="1">
      <alignment horizontal="center"/>
    </xf>
    <xf numFmtId="2" fontId="4" fillId="0" borderId="0" xfId="0" applyNumberFormat="1" applyFont="1" applyAlignment="1">
      <alignment horizontal="left"/>
    </xf>
    <xf numFmtId="0" fontId="2" fillId="0" borderId="6" xfId="0" applyFont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Continuous"/>
    </xf>
    <xf numFmtId="0" fontId="4" fillId="0" borderId="0" xfId="0" applyFont="1" applyAlignment="1">
      <alignment horizontal="right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5" fontId="2" fillId="2" borderId="2" xfId="0" applyNumberFormat="1" applyFont="1" applyFill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2" fontId="2" fillId="3" borderId="2" xfId="0" applyNumberFormat="1" applyFont="1" applyFill="1" applyBorder="1" applyAlignment="1">
      <alignment horizontal="center"/>
    </xf>
    <xf numFmtId="165" fontId="2" fillId="3" borderId="2" xfId="0" applyNumberFormat="1" applyFont="1" applyFill="1" applyBorder="1" applyAlignment="1">
      <alignment horizontal="center"/>
    </xf>
    <xf numFmtId="165" fontId="2" fillId="3" borderId="0" xfId="0" applyNumberFormat="1" applyFont="1" applyFill="1" applyAlignment="1">
      <alignment horizontal="center"/>
    </xf>
    <xf numFmtId="165" fontId="2" fillId="3" borderId="3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5" fontId="2" fillId="2" borderId="0" xfId="0" applyNumberFormat="1" applyFont="1" applyFill="1" applyAlignment="1">
      <alignment horizontal="center"/>
    </xf>
    <xf numFmtId="2" fontId="4" fillId="3" borderId="0" xfId="0" applyNumberFormat="1" applyFon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165" fontId="2" fillId="3" borderId="5" xfId="0" applyNumberFormat="1" applyFont="1" applyFill="1" applyBorder="1" applyAlignment="1">
      <alignment horizontal="center"/>
    </xf>
    <xf numFmtId="0" fontId="2" fillId="2" borderId="0" xfId="0" applyFont="1" applyFill="1"/>
    <xf numFmtId="2" fontId="2" fillId="3" borderId="5" xfId="0" applyNumberFormat="1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165" fontId="2" fillId="2" borderId="7" xfId="0" applyNumberFormat="1" applyFont="1" applyFill="1" applyBorder="1" applyAlignment="1">
      <alignment horizontal="center"/>
    </xf>
    <xf numFmtId="0" fontId="2" fillId="2" borderId="7" xfId="0" applyFont="1" applyFill="1" applyBorder="1"/>
    <xf numFmtId="2" fontId="2" fillId="3" borderId="7" xfId="0" applyNumberFormat="1" applyFont="1" applyFill="1" applyBorder="1" applyAlignment="1">
      <alignment horizontal="center"/>
    </xf>
    <xf numFmtId="2" fontId="2" fillId="3" borderId="8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3" borderId="3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5" fontId="2" fillId="3" borderId="8" xfId="0" applyNumberFormat="1" applyFont="1" applyFill="1" applyBorder="1"/>
    <xf numFmtId="2" fontId="5" fillId="0" borderId="0" xfId="0" applyNumberFormat="1" applyFont="1" applyAlignment="1">
      <alignment horizontal="right"/>
    </xf>
    <xf numFmtId="2" fontId="2" fillId="4" borderId="0" xfId="0" applyNumberFormat="1" applyFont="1" applyFill="1" applyAlignment="1">
      <alignment horizontal="center"/>
    </xf>
    <xf numFmtId="165" fontId="2" fillId="5" borderId="5" xfId="0" applyNumberFormat="1" applyFont="1" applyFill="1" applyBorder="1" applyAlignment="1">
      <alignment horizontal="center"/>
    </xf>
    <xf numFmtId="165" fontId="2" fillId="5" borderId="8" xfId="0" applyNumberFormat="1" applyFont="1" applyFill="1" applyBorder="1"/>
    <xf numFmtId="0" fontId="2" fillId="5" borderId="3" xfId="0" applyFont="1" applyFill="1" applyBorder="1"/>
    <xf numFmtId="2" fontId="2" fillId="5" borderId="0" xfId="0" applyNumberFormat="1" applyFont="1" applyFill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/>
    <xf numFmtId="0" fontId="2" fillId="6" borderId="2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165" fontId="2" fillId="6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D4463-1AF6-F04D-856C-AFD6F293EB69}">
  <sheetPr>
    <pageSetUpPr fitToPage="1"/>
  </sheetPr>
  <dimension ref="A1:K20"/>
  <sheetViews>
    <sheetView topLeftCell="A2" zoomScale="163" workbookViewId="0">
      <selection activeCell="C12" sqref="C12"/>
    </sheetView>
  </sheetViews>
  <sheetFormatPr baseColWidth="10" defaultColWidth="10.7109375" defaultRowHeight="13"/>
  <cols>
    <col min="1" max="1" width="7.140625" style="4" customWidth="1"/>
    <col min="2" max="2" width="5.85546875" style="2" customWidth="1"/>
    <col min="3" max="3" width="8.7109375" style="3" customWidth="1"/>
    <col min="4" max="4" width="10.7109375" style="4"/>
    <col min="5" max="5" width="13" style="4" customWidth="1"/>
    <col min="6" max="6" width="8.7109375" style="2" customWidth="1"/>
    <col min="7" max="7" width="8.7109375" style="3" customWidth="1"/>
    <col min="8" max="11" width="12.7109375" style="4" customWidth="1"/>
    <col min="12" max="16384" width="10.7109375" style="4"/>
  </cols>
  <sheetData>
    <row r="1" spans="1:11" ht="18">
      <c r="A1" s="1" t="s">
        <v>0</v>
      </c>
    </row>
    <row r="3" spans="1:11" ht="14" thickBot="1">
      <c r="C3" s="5" t="s">
        <v>1</v>
      </c>
    </row>
    <row r="4" spans="1:11">
      <c r="B4" s="6" t="s">
        <v>2</v>
      </c>
      <c r="C4" s="7">
        <v>5000</v>
      </c>
      <c r="D4" s="8" t="s">
        <v>3</v>
      </c>
      <c r="E4" s="8"/>
      <c r="F4" s="9"/>
      <c r="G4" s="10"/>
    </row>
    <row r="5" spans="1:11">
      <c r="B5" s="11" t="s">
        <v>4</v>
      </c>
      <c r="C5" s="12">
        <v>49</v>
      </c>
      <c r="D5" s="4" t="s">
        <v>5</v>
      </c>
      <c r="F5" s="13"/>
    </row>
    <row r="6" spans="1:11">
      <c r="B6" s="11" t="s">
        <v>6</v>
      </c>
      <c r="C6" s="14">
        <v>0.2</v>
      </c>
      <c r="D6" s="4" t="s">
        <v>7</v>
      </c>
      <c r="F6" s="13"/>
      <c r="G6" s="15" t="s">
        <v>8</v>
      </c>
    </row>
    <row r="7" spans="1:11" ht="14" thickBot="1">
      <c r="B7" s="16" t="s">
        <v>9</v>
      </c>
      <c r="C7" s="17">
        <v>3</v>
      </c>
      <c r="D7" s="18" t="s">
        <v>10</v>
      </c>
      <c r="E7" s="18"/>
      <c r="F7" s="19"/>
      <c r="G7" s="10"/>
    </row>
    <row r="8" spans="1:11">
      <c r="C8" s="5"/>
      <c r="G8" s="10"/>
      <c r="K8" s="20" t="s">
        <v>11</v>
      </c>
    </row>
    <row r="9" spans="1:11">
      <c r="B9" s="4"/>
      <c r="C9" s="4"/>
      <c r="G9" s="10"/>
      <c r="H9" s="3" t="s">
        <v>12</v>
      </c>
      <c r="I9" s="3" t="s">
        <v>12</v>
      </c>
      <c r="J9" s="3" t="s">
        <v>12</v>
      </c>
      <c r="K9" s="3" t="s">
        <v>13</v>
      </c>
    </row>
    <row r="10" spans="1:11">
      <c r="B10" s="4"/>
      <c r="C10" s="4"/>
      <c r="D10" s="21" t="s">
        <v>14</v>
      </c>
      <c r="E10" s="21"/>
      <c r="F10" s="22" t="s">
        <v>15</v>
      </c>
      <c r="G10" s="20" t="s">
        <v>16</v>
      </c>
      <c r="H10" s="3" t="s">
        <v>17</v>
      </c>
      <c r="I10" s="3" t="s">
        <v>18</v>
      </c>
      <c r="J10" s="3" t="s">
        <v>19</v>
      </c>
      <c r="K10" s="3" t="s">
        <v>20</v>
      </c>
    </row>
    <row r="11" spans="1:11" ht="14" thickBot="1">
      <c r="B11" s="2" t="s">
        <v>21</v>
      </c>
      <c r="C11" s="3" t="s">
        <v>22</v>
      </c>
      <c r="D11" s="3" t="s">
        <v>23</v>
      </c>
      <c r="E11" s="3" t="s">
        <v>24</v>
      </c>
      <c r="F11" s="23" t="s">
        <v>25</v>
      </c>
      <c r="G11" s="23" t="s">
        <v>26</v>
      </c>
      <c r="H11" s="23" t="s">
        <v>27</v>
      </c>
      <c r="I11" s="23" t="s">
        <v>27</v>
      </c>
      <c r="J11" s="24" t="s">
        <v>27</v>
      </c>
      <c r="K11" s="3" t="s">
        <v>27</v>
      </c>
    </row>
    <row r="12" spans="1:11">
      <c r="B12" s="25">
        <f>IF($C$7&gt;=1,1,"")</f>
        <v>1</v>
      </c>
      <c r="C12" s="26">
        <v>5</v>
      </c>
      <c r="D12" s="7">
        <v>0</v>
      </c>
      <c r="E12" s="7">
        <v>999</v>
      </c>
      <c r="F12" s="27">
        <f>IF($C$7&gt;=B12,SQRT(2*$C$4*$C$5/($C$6*C12)),"")</f>
        <v>700</v>
      </c>
      <c r="G12" s="28">
        <f>IF($C$7&gt;=1,MIN(E12,MAX(D12,F12)),"")</f>
        <v>700</v>
      </c>
      <c r="H12" s="29">
        <f>IF($C$7&gt;=B12,$C$4*C12,"")</f>
        <v>25000</v>
      </c>
      <c r="I12" s="29">
        <f>IF(C7&gt;=1,$C$5*$C$4/G12,"")</f>
        <v>350</v>
      </c>
      <c r="J12" s="30">
        <f>IF($C$7&gt;=B12,$C$6*C12*G12/2,"")</f>
        <v>350</v>
      </c>
      <c r="K12" s="31">
        <f>IF($C$7&gt;=B12,SUM(H12:J12),"")</f>
        <v>25700</v>
      </c>
    </row>
    <row r="13" spans="1:11">
      <c r="B13" s="32">
        <f>IF($C$7&gt;=2,2,"")</f>
        <v>2</v>
      </c>
      <c r="C13" s="33">
        <v>4.8</v>
      </c>
      <c r="D13" s="14">
        <v>1000</v>
      </c>
      <c r="E13" s="14">
        <v>1999</v>
      </c>
      <c r="F13" s="34">
        <f>IF($C$7&gt;=B13,SQRT(2*$C$4*$C$5/($C$6*C13)),"")</f>
        <v>714.43450831176028</v>
      </c>
      <c r="G13" s="55">
        <f>IF($C$7&gt;=2,MIN(E13,MAX(D13,F13)),"")</f>
        <v>1000</v>
      </c>
      <c r="H13" s="30">
        <f>IF($C$7&gt;=B13,$C$4*C13,"")</f>
        <v>24000</v>
      </c>
      <c r="I13" s="30">
        <f>IF(C7&gt;=2,$C$5*$C$4/G13,"")</f>
        <v>245</v>
      </c>
      <c r="J13" s="30">
        <f>IF($C$7&gt;=B13,$C$6*C13*G13/2,"")</f>
        <v>480</v>
      </c>
      <c r="K13" s="52">
        <f>IF($C$7&gt;=B13,SUM(H13:J13),"")</f>
        <v>24725</v>
      </c>
    </row>
    <row r="14" spans="1:11">
      <c r="B14" s="32">
        <f>IF($C$7&gt;=3,3,"")</f>
        <v>3</v>
      </c>
      <c r="C14" s="33">
        <v>4.75</v>
      </c>
      <c r="D14" s="14">
        <v>2000</v>
      </c>
      <c r="E14" s="14">
        <v>4000</v>
      </c>
      <c r="F14" s="34">
        <f>IF($C$7&gt;=B14,SQRT(2*$C$4*$C$5/($C$6*C14)),"")</f>
        <v>718.1848464596078</v>
      </c>
      <c r="G14" s="35">
        <f>IF($C$7&gt;=3,MIN(E14,MAX(D14,F14)),"")</f>
        <v>2000</v>
      </c>
      <c r="H14" s="30">
        <f>IF($C$7&gt;=B14,$C$4*C14,"")</f>
        <v>23750</v>
      </c>
      <c r="I14" s="30">
        <f>IF(C7&gt;=3,$C$5*$C$4/G14,"")</f>
        <v>122.5</v>
      </c>
      <c r="J14" s="30">
        <f>IF($C$7&gt;=B14,$C$6*C14*G14/2,"")</f>
        <v>950.00000000000011</v>
      </c>
      <c r="K14" s="36">
        <f>IF($C$7&gt;=B14,SUM(H14:J14),"")</f>
        <v>24822.5</v>
      </c>
    </row>
    <row r="15" spans="1:11">
      <c r="B15" s="32" t="str">
        <f>IF($C$7&gt;=4,4,"")</f>
        <v/>
      </c>
      <c r="C15" s="33"/>
      <c r="D15" s="37"/>
      <c r="E15" s="37"/>
      <c r="F15" s="35" t="str">
        <f>IF($C$7&gt;=B15,SQRT(2*$C$4*$C$5/($C$6*C15)),"")</f>
        <v/>
      </c>
      <c r="G15" s="35" t="str">
        <f>IF($C$7&gt;=4,MIN(E15,MAX(D15,F15)),"")</f>
        <v/>
      </c>
      <c r="H15" s="35" t="str">
        <f>IF($C$7&gt;=B15,$C$4*C15,"")</f>
        <v/>
      </c>
      <c r="I15" s="35" t="str">
        <f>IF(C7&gt;=4,$C$5*$C$4/G15,"")</f>
        <v/>
      </c>
      <c r="J15" s="35" t="str">
        <f>IF($C$7&gt;=B15,$C$6*C15*G15/2,"")</f>
        <v/>
      </c>
      <c r="K15" s="38" t="str">
        <f>IF($C$7&gt;=B15,SUM(H15:J15),"")</f>
        <v/>
      </c>
    </row>
    <row r="16" spans="1:11" ht="14" thickBot="1">
      <c r="B16" s="39" t="str">
        <f>IF($C$7&gt;=5,5,"")</f>
        <v/>
      </c>
      <c r="C16" s="40"/>
      <c r="D16" s="41"/>
      <c r="E16" s="41"/>
      <c r="F16" s="42" t="str">
        <f>IF($C$7&gt;=B16,SQRT(2*$C$4*$C$5/($C$6*C16)),"")</f>
        <v/>
      </c>
      <c r="G16" s="42" t="str">
        <f>IF($C$7&gt;=5,MIN(E16,MAX(D16,F16)),"")</f>
        <v/>
      </c>
      <c r="H16" s="42" t="str">
        <f>IF($C$7&gt;=B16,$C$4*C16,"")</f>
        <v/>
      </c>
      <c r="I16" s="42" t="str">
        <f>IF(C7&gt;=5,$C$5*$C$4/G16,"")</f>
        <v/>
      </c>
      <c r="J16" s="42" t="str">
        <f>IF($C$7&gt;=B16,$C$6*C16*G16/2,"")</f>
        <v/>
      </c>
      <c r="K16" s="43" t="str">
        <f>IF($C$7&gt;=B16,SUM(H16:J16),"")</f>
        <v/>
      </c>
    </row>
    <row r="17" spans="3:5">
      <c r="C17" s="5"/>
    </row>
    <row r="18" spans="3:5" ht="14" thickBot="1">
      <c r="D18" s="5" t="s">
        <v>31</v>
      </c>
    </row>
    <row r="19" spans="3:5">
      <c r="C19" s="44"/>
      <c r="D19" s="45" t="s">
        <v>32</v>
      </c>
      <c r="E19" s="54">
        <f>IF(E20=K12,G12,IF(E20=K13,G13,IF(E20=K14,G14,IF(E20=K15,G14,IF(E20=K16,G16)))))</f>
        <v>1000</v>
      </c>
    </row>
    <row r="20" spans="3:5" ht="14" thickBot="1">
      <c r="C20" s="47"/>
      <c r="D20" s="48" t="s">
        <v>33</v>
      </c>
      <c r="E20" s="53">
        <f>MIN(K12:K16)</f>
        <v>24725</v>
      </c>
    </row>
  </sheetData>
  <dataValidations count="1">
    <dataValidation type="whole" allowBlank="1" showInputMessage="1" showErrorMessage="1" error="N must be an integer between 1 and 5." sqref="C7" xr:uid="{AB4ADC8C-46DC-1A40-A8A5-AF9D8AD16E14}">
      <formula1>1</formula1>
      <formula2>5</formula2>
    </dataValidation>
  </dataValidations>
  <pageMargins left="0.75" right="0.75" top="1" bottom="1" header="0.5" footer="0.5"/>
  <pageSetup paperSize="0" scale="8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B27A1-8B40-4F4D-8CFC-A4B59868EF58}">
  <sheetPr>
    <pageSetUpPr fitToPage="1"/>
  </sheetPr>
  <dimension ref="A1:K20"/>
  <sheetViews>
    <sheetView zoomScale="163" workbookViewId="0">
      <selection activeCell="G21" sqref="G21"/>
    </sheetView>
  </sheetViews>
  <sheetFormatPr baseColWidth="10" defaultColWidth="10.7109375" defaultRowHeight="13"/>
  <cols>
    <col min="1" max="1" width="7.140625" style="4" customWidth="1"/>
    <col min="2" max="2" width="5.85546875" style="2" customWidth="1"/>
    <col min="3" max="3" width="8.7109375" style="3" customWidth="1"/>
    <col min="4" max="4" width="10.7109375" style="4"/>
    <col min="5" max="5" width="13" style="4" customWidth="1"/>
    <col min="6" max="6" width="8.7109375" style="2" customWidth="1"/>
    <col min="7" max="7" width="8.7109375" style="3" customWidth="1"/>
    <col min="8" max="11" width="12.7109375" style="4" customWidth="1"/>
    <col min="12" max="16384" width="10.7109375" style="4"/>
  </cols>
  <sheetData>
    <row r="1" spans="1:11" ht="18">
      <c r="A1" s="1" t="s">
        <v>0</v>
      </c>
    </row>
    <row r="3" spans="1:11" ht="14" thickBot="1">
      <c r="C3" s="5" t="s">
        <v>1</v>
      </c>
    </row>
    <row r="4" spans="1:11">
      <c r="B4" s="6" t="s">
        <v>2</v>
      </c>
      <c r="C4" s="7">
        <v>200</v>
      </c>
      <c r="D4" s="8" t="s">
        <v>3</v>
      </c>
      <c r="E4" s="8"/>
      <c r="F4" s="9"/>
      <c r="G4" s="10"/>
    </row>
    <row r="5" spans="1:11">
      <c r="B5" s="11" t="s">
        <v>4</v>
      </c>
      <c r="C5" s="12">
        <v>2500</v>
      </c>
      <c r="D5" s="4" t="s">
        <v>5</v>
      </c>
      <c r="F5" s="13"/>
    </row>
    <row r="6" spans="1:11">
      <c r="B6" s="11" t="s">
        <v>6</v>
      </c>
      <c r="C6" s="14">
        <v>190</v>
      </c>
      <c r="D6" s="4" t="s">
        <v>7</v>
      </c>
      <c r="F6" s="13"/>
      <c r="G6" s="15" t="s">
        <v>34</v>
      </c>
    </row>
    <row r="7" spans="1:11" ht="14" thickBot="1">
      <c r="B7" s="16" t="s">
        <v>9</v>
      </c>
      <c r="C7" s="17">
        <v>3</v>
      </c>
      <c r="D7" s="18" t="s">
        <v>10</v>
      </c>
      <c r="E7" s="18"/>
      <c r="F7" s="19"/>
      <c r="G7" s="10"/>
    </row>
    <row r="8" spans="1:11">
      <c r="C8" s="5"/>
      <c r="G8" s="10"/>
      <c r="K8" s="20" t="s">
        <v>11</v>
      </c>
    </row>
    <row r="9" spans="1:11">
      <c r="B9" s="4"/>
      <c r="C9" s="4"/>
      <c r="G9" s="50"/>
      <c r="H9" s="3" t="s">
        <v>12</v>
      </c>
      <c r="I9" s="3" t="s">
        <v>12</v>
      </c>
      <c r="J9" s="3" t="s">
        <v>12</v>
      </c>
      <c r="K9" s="3" t="s">
        <v>13</v>
      </c>
    </row>
    <row r="10" spans="1:11">
      <c r="B10" s="4"/>
      <c r="C10" s="4"/>
      <c r="D10" s="21" t="s">
        <v>14</v>
      </c>
      <c r="E10" s="21"/>
      <c r="F10" s="22" t="s">
        <v>15</v>
      </c>
      <c r="G10" s="20" t="s">
        <v>16</v>
      </c>
      <c r="H10" s="3" t="s">
        <v>17</v>
      </c>
      <c r="I10" s="3" t="s">
        <v>18</v>
      </c>
      <c r="J10" s="3" t="s">
        <v>19</v>
      </c>
      <c r="K10" s="3" t="s">
        <v>20</v>
      </c>
    </row>
    <row r="11" spans="1:11" ht="14" thickBot="1">
      <c r="B11" s="2" t="s">
        <v>21</v>
      </c>
      <c r="C11" s="3" t="s">
        <v>22</v>
      </c>
      <c r="D11" s="3" t="s">
        <v>23</v>
      </c>
      <c r="E11" s="3" t="s">
        <v>24</v>
      </c>
      <c r="F11" s="23" t="s">
        <v>25</v>
      </c>
      <c r="G11" s="23" t="s">
        <v>26</v>
      </c>
      <c r="H11" s="23" t="s">
        <v>27</v>
      </c>
      <c r="I11" s="23" t="s">
        <v>27</v>
      </c>
      <c r="J11" s="24" t="s">
        <v>27</v>
      </c>
      <c r="K11" s="3" t="s">
        <v>27</v>
      </c>
    </row>
    <row r="12" spans="1:11">
      <c r="B12" s="25">
        <f>IF($C$7&gt;=1,1,"")</f>
        <v>1</v>
      </c>
      <c r="C12" s="26">
        <v>1400</v>
      </c>
      <c r="D12" s="7">
        <v>1</v>
      </c>
      <c r="E12" s="7">
        <v>49</v>
      </c>
      <c r="F12" s="28">
        <f>IF($C$7&gt;=B12,SQRT(2*$C$4*$C$5/($C$6)),"")</f>
        <v>72.547625011001173</v>
      </c>
      <c r="G12" s="28">
        <f>IF($C$7&gt;=1,MIN(E12,MAX(D12,F12)),"")</f>
        <v>49</v>
      </c>
      <c r="H12" s="29">
        <f>IF($C$7&gt;=B12,$C$4*C12,"")</f>
        <v>280000</v>
      </c>
      <c r="I12" s="29">
        <f>IF(C7&gt;=1,$C$5*$C$4/G12,"")</f>
        <v>10204.081632653062</v>
      </c>
      <c r="J12" s="30">
        <f>IF($C$7&gt;=B12,$C$6*G12/2,"")</f>
        <v>4655</v>
      </c>
      <c r="K12" s="31">
        <f>IF($C$7&gt;=B12,SUM(H12:J12),"")</f>
        <v>294859.08163265308</v>
      </c>
    </row>
    <row r="13" spans="1:11">
      <c r="B13" s="32">
        <f>IF($C$7&gt;=2,2,"")</f>
        <v>2</v>
      </c>
      <c r="C13" s="33">
        <v>1100</v>
      </c>
      <c r="D13" s="14">
        <v>50</v>
      </c>
      <c r="E13" s="14">
        <v>89</v>
      </c>
      <c r="F13" s="35">
        <f>IF($C$7&gt;=B13,SQRT(2*$C$4*$C$5/($C$6)),"")</f>
        <v>72.547625011001173</v>
      </c>
      <c r="G13" s="35">
        <f>IF($C$7&gt;=2,MIN(E13,MAX(D13,F13)),"")</f>
        <v>72.547625011001173</v>
      </c>
      <c r="H13" s="30">
        <f>IF($C$7&gt;=B13,$C$4*C13,"")</f>
        <v>220000</v>
      </c>
      <c r="I13" s="30">
        <f>IF(C7&gt;=2,$C$5*$C$4/G13,"")</f>
        <v>6892.0243760451103</v>
      </c>
      <c r="J13" s="30">
        <f>IF($C$7&gt;=B13,$C$6*G13/2,"")</f>
        <v>6892.0243760451112</v>
      </c>
      <c r="K13" s="36">
        <f>IF($C$7&gt;=B13,SUM(H13:J13),"")</f>
        <v>233784.0487520902</v>
      </c>
    </row>
    <row r="14" spans="1:11">
      <c r="B14" s="32">
        <f>IF($C$7&gt;=3,3,"")</f>
        <v>3</v>
      </c>
      <c r="C14" s="33">
        <v>900</v>
      </c>
      <c r="D14" s="14">
        <v>90</v>
      </c>
      <c r="E14" s="14">
        <v>4000</v>
      </c>
      <c r="F14" s="35">
        <f>IF($C$7&gt;=B14,SQRT(2*$C$4*$C$5/($C$6)),"")</f>
        <v>72.547625011001173</v>
      </c>
      <c r="G14" s="35">
        <f>IF($C$7&gt;=3,MIN(E14,MAX(D14,F14)),"")</f>
        <v>90</v>
      </c>
      <c r="H14" s="30">
        <f>IF($C$7&gt;=B14,$C$4*C14,"")</f>
        <v>180000</v>
      </c>
      <c r="I14" s="30">
        <f>IF(C7&gt;=3,$C$5*$C$4/G14,"")</f>
        <v>5555.5555555555557</v>
      </c>
      <c r="J14" s="30">
        <f>IF($C$7&gt;=B14,$C$6*G14/2,"")</f>
        <v>8550</v>
      </c>
      <c r="K14" s="36">
        <f>IF($C$7&gt;=B14,SUM(H14:J14),"")</f>
        <v>194105.55555555556</v>
      </c>
    </row>
    <row r="15" spans="1:11">
      <c r="B15" s="32" t="str">
        <f>IF($C$7&gt;=4,4,"")</f>
        <v/>
      </c>
      <c r="C15" s="33"/>
      <c r="D15" s="37"/>
      <c r="E15" s="37"/>
      <c r="F15" s="35" t="str">
        <f>IF($C$7&gt;=B15,SQRT(2*$C$4*$C$5/($C$6*C15)),"")</f>
        <v/>
      </c>
      <c r="G15" s="35" t="str">
        <f>IF($C$7&gt;=4,MIN(E15,MAX(D15,F15)),"")</f>
        <v/>
      </c>
      <c r="H15" s="35" t="str">
        <f>IF($C$7&gt;=B15,$C$4*C15,"")</f>
        <v/>
      </c>
      <c r="I15" s="35" t="str">
        <f>IF(C7&gt;=4,$C$5*$C$4/G15,"")</f>
        <v/>
      </c>
      <c r="J15" s="35" t="str">
        <f>IF($C$7&gt;=B15,$C$6*C15*G15/2,"")</f>
        <v/>
      </c>
      <c r="K15" s="38" t="str">
        <f>IF($C$7&gt;=B15,SUM(H15:J15),"")</f>
        <v/>
      </c>
    </row>
    <row r="16" spans="1:11" ht="14" thickBot="1">
      <c r="B16" s="39" t="str">
        <f>IF($C$7&gt;=5,5,"")</f>
        <v/>
      </c>
      <c r="C16" s="40"/>
      <c r="D16" s="41"/>
      <c r="E16" s="41"/>
      <c r="F16" s="42" t="str">
        <f>IF($C$7&gt;=B16,SQRT(2*$C$4*$C$5/($C$6*C16)),"")</f>
        <v/>
      </c>
      <c r="G16" s="42" t="str">
        <f>IF($C$7&gt;=5,MIN(E16,MAX(D16,F16)),"")</f>
        <v/>
      </c>
      <c r="H16" s="42" t="str">
        <f>IF($C$7&gt;=B16,$C$4*C16,"")</f>
        <v/>
      </c>
      <c r="I16" s="42" t="str">
        <f>IF(C7&gt;=5,$C$5*$C$4/G16,"")</f>
        <v/>
      </c>
      <c r="J16" s="42" t="str">
        <f>IF($C$7&gt;=B16,$C$6*C16*G16/2,"")</f>
        <v/>
      </c>
      <c r="K16" s="43" t="str">
        <f>IF($C$7&gt;=B16,SUM(H16:J16),"")</f>
        <v/>
      </c>
    </row>
    <row r="17" spans="3:5">
      <c r="C17" s="5"/>
    </row>
    <row r="18" spans="3:5" ht="14" thickBot="1">
      <c r="D18" s="5" t="s">
        <v>31</v>
      </c>
    </row>
    <row r="19" spans="3:5">
      <c r="C19" s="44"/>
      <c r="D19" s="45" t="s">
        <v>32</v>
      </c>
      <c r="E19" s="46">
        <f>IF(E20=K12,G12,IF(E20=K13,G13,IF(E20=K14,G14,IF(E20=K15,G14,IF(E20=K16,G16)))))</f>
        <v>90</v>
      </c>
    </row>
    <row r="20" spans="3:5" ht="14" thickBot="1">
      <c r="C20" s="47"/>
      <c r="D20" s="48" t="s">
        <v>33</v>
      </c>
      <c r="E20" s="49">
        <f>MIN(K12:K16)</f>
        <v>194105.55555555556</v>
      </c>
    </row>
  </sheetData>
  <dataValidations count="1">
    <dataValidation type="whole" allowBlank="1" showInputMessage="1" showErrorMessage="1" error="N must be an integer between 1 and 5." sqref="C7" xr:uid="{EC495F06-09B7-E74C-B00B-05CA49987439}">
      <formula1>1</formula1>
      <formula2>5</formula2>
    </dataValidation>
  </dataValidations>
  <pageMargins left="0.75" right="0.75" top="1" bottom="1" header="0.5" footer="0.5"/>
  <pageSetup paperSize="0" scale="89" orientation="landscape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D394C-5724-7F4E-8F76-CEBF5C7861C4}">
  <sheetPr>
    <pageSetUpPr fitToPage="1"/>
  </sheetPr>
  <dimension ref="A1:K20"/>
  <sheetViews>
    <sheetView zoomScale="163" workbookViewId="0">
      <selection activeCell="G14" sqref="G14"/>
    </sheetView>
  </sheetViews>
  <sheetFormatPr baseColWidth="10" defaultColWidth="10.7109375" defaultRowHeight="13"/>
  <cols>
    <col min="1" max="1" width="7.140625" style="4" customWidth="1"/>
    <col min="2" max="2" width="5.85546875" style="2" customWidth="1"/>
    <col min="3" max="3" width="8.7109375" style="3" customWidth="1"/>
    <col min="4" max="4" width="10.7109375" style="4"/>
    <col min="5" max="5" width="13" style="4" customWidth="1"/>
    <col min="6" max="6" width="8.7109375" style="2" customWidth="1"/>
    <col min="7" max="7" width="8.7109375" style="3" customWidth="1"/>
    <col min="8" max="11" width="12.7109375" style="4" customWidth="1"/>
    <col min="12" max="16384" width="10.7109375" style="4"/>
  </cols>
  <sheetData>
    <row r="1" spans="1:11" ht="18">
      <c r="A1" s="1" t="s">
        <v>0</v>
      </c>
    </row>
    <row r="3" spans="1:11" ht="14" thickBot="1">
      <c r="C3" s="5" t="s">
        <v>1</v>
      </c>
    </row>
    <row r="4" spans="1:11">
      <c r="B4" s="6" t="s">
        <v>2</v>
      </c>
      <c r="C4" s="7">
        <v>20000</v>
      </c>
      <c r="D4" s="8" t="s">
        <v>3</v>
      </c>
      <c r="E4" s="8"/>
      <c r="F4" s="9"/>
      <c r="G4" s="10"/>
    </row>
    <row r="5" spans="1:11">
      <c r="B5" s="11" t="s">
        <v>4</v>
      </c>
      <c r="C5" s="12">
        <v>15000</v>
      </c>
      <c r="D5" s="4" t="s">
        <v>5</v>
      </c>
      <c r="F5" s="13"/>
    </row>
    <row r="6" spans="1:11">
      <c r="B6" s="11" t="s">
        <v>6</v>
      </c>
      <c r="C6" s="14">
        <v>0.2</v>
      </c>
      <c r="D6" s="4" t="s">
        <v>7</v>
      </c>
      <c r="F6" s="13"/>
      <c r="G6" s="15" t="s">
        <v>8</v>
      </c>
    </row>
    <row r="7" spans="1:11" ht="14" thickBot="1">
      <c r="B7" s="16" t="s">
        <v>9</v>
      </c>
      <c r="C7" s="17">
        <v>3</v>
      </c>
      <c r="D7" s="18" t="s">
        <v>10</v>
      </c>
      <c r="E7" s="18"/>
      <c r="F7" s="19"/>
      <c r="G7" s="10"/>
    </row>
    <row r="8" spans="1:11">
      <c r="C8" s="5"/>
      <c r="G8" s="10"/>
      <c r="K8" s="20" t="s">
        <v>11</v>
      </c>
    </row>
    <row r="9" spans="1:11">
      <c r="B9" s="4"/>
      <c r="C9" s="4"/>
      <c r="G9" s="10"/>
      <c r="H9" s="3" t="s">
        <v>12</v>
      </c>
      <c r="I9" s="3" t="s">
        <v>12</v>
      </c>
      <c r="J9" s="3" t="s">
        <v>12</v>
      </c>
      <c r="K9" s="3" t="s">
        <v>13</v>
      </c>
    </row>
    <row r="10" spans="1:11">
      <c r="B10" s="4"/>
      <c r="C10" s="4"/>
      <c r="D10" s="21" t="s">
        <v>14</v>
      </c>
      <c r="E10" s="21"/>
      <c r="F10" s="22" t="s">
        <v>15</v>
      </c>
      <c r="G10" s="20" t="s">
        <v>16</v>
      </c>
      <c r="H10" s="3" t="s">
        <v>17</v>
      </c>
      <c r="I10" s="3" t="s">
        <v>18</v>
      </c>
      <c r="J10" s="3" t="s">
        <v>19</v>
      </c>
      <c r="K10" s="3" t="s">
        <v>20</v>
      </c>
    </row>
    <row r="11" spans="1:11" ht="14" thickBot="1">
      <c r="B11" s="2" t="s">
        <v>21</v>
      </c>
      <c r="C11" s="3" t="s">
        <v>22</v>
      </c>
      <c r="D11" s="3" t="s">
        <v>23</v>
      </c>
      <c r="E11" s="3" t="s">
        <v>24</v>
      </c>
      <c r="F11" s="23" t="s">
        <v>25</v>
      </c>
      <c r="G11" s="23" t="s">
        <v>26</v>
      </c>
      <c r="H11" s="23" t="s">
        <v>27</v>
      </c>
      <c r="I11" s="23" t="s">
        <v>27</v>
      </c>
      <c r="J11" s="24" t="s">
        <v>27</v>
      </c>
      <c r="K11" s="3" t="s">
        <v>27</v>
      </c>
    </row>
    <row r="12" spans="1:11">
      <c r="A12" s="4" t="s">
        <v>28</v>
      </c>
      <c r="B12" s="25">
        <f>IF($C$7&gt;=1,1,"")</f>
        <v>1</v>
      </c>
      <c r="C12" s="26">
        <v>375</v>
      </c>
      <c r="D12" s="7">
        <v>0</v>
      </c>
      <c r="E12" s="7">
        <v>2999</v>
      </c>
      <c r="F12" s="27">
        <f>IF($C$7&gt;=B12,SQRT(2*$C$4*$C$5/($C$6*C12)),"")</f>
        <v>2828.4271247461902</v>
      </c>
      <c r="G12" s="28">
        <f>IF($C$7&gt;=1,MIN(E12,MAX(D12,F12)),"")</f>
        <v>2828.4271247461902</v>
      </c>
      <c r="H12" s="29">
        <f>IF($C$7&gt;=B12,$C$4*C12,"")</f>
        <v>7500000</v>
      </c>
      <c r="I12" s="29">
        <f>IF(C7&gt;=1,$C$5*$C$4/G12,"")</f>
        <v>106066.01717798212</v>
      </c>
      <c r="J12" s="30">
        <f>IF($C$7&gt;=B12,$C$6*C12*G12/2,"")</f>
        <v>106066.01717798214</v>
      </c>
      <c r="K12" s="31">
        <f>IF($C$7&gt;=B12,SUM(H12:J12),"")</f>
        <v>7712132.0343559645</v>
      </c>
    </row>
    <row r="13" spans="1:11">
      <c r="A13" s="4" t="s">
        <v>29</v>
      </c>
      <c r="B13" s="32">
        <f>IF($C$7&gt;=2,2,"")</f>
        <v>2</v>
      </c>
      <c r="C13" s="33">
        <v>360</v>
      </c>
      <c r="D13" s="14">
        <v>3000</v>
      </c>
      <c r="E13" s="14">
        <v>3999</v>
      </c>
      <c r="F13" s="34">
        <f>IF($C$7&gt;=B13,SQRT(2*$C$4*$C$5/($C$6*C13)),"")</f>
        <v>2886.7513459481288</v>
      </c>
      <c r="G13" s="35">
        <f>IF($C$7&gt;=2,MIN(E13,MAX(D13,F13)),"")</f>
        <v>3000</v>
      </c>
      <c r="H13" s="30">
        <f>IF($C$7&gt;=B13,$C$4*C13,"")</f>
        <v>7200000</v>
      </c>
      <c r="I13" s="30">
        <f>IF(C7&gt;=2,$C$5*$C$4/G13,"")</f>
        <v>100000</v>
      </c>
      <c r="J13" s="30">
        <f>IF($C$7&gt;=B13,$C$6*C13*G13/2,"")</f>
        <v>108000</v>
      </c>
      <c r="K13" s="36">
        <f>IF($C$7&gt;=B13,SUM(H13:J13),"")</f>
        <v>7408000</v>
      </c>
    </row>
    <row r="14" spans="1:11">
      <c r="A14" s="4" t="s">
        <v>30</v>
      </c>
      <c r="B14" s="32">
        <f>IF($C$7&gt;=3,3,"")</f>
        <v>3</v>
      </c>
      <c r="C14" s="33">
        <v>345</v>
      </c>
      <c r="D14" s="14">
        <v>4000</v>
      </c>
      <c r="E14" s="14">
        <v>10000</v>
      </c>
      <c r="F14" s="34">
        <f>IF($C$7&gt;=B14,SQRT(2*$C$4*$C$5/($C$6*C14)),"")</f>
        <v>2948.8391230979428</v>
      </c>
      <c r="G14" s="51">
        <f>IF($C$7&gt;=3,MIN(E14,MAX(D14,F14)),"")</f>
        <v>4000</v>
      </c>
      <c r="H14" s="30">
        <f>IF($C$7&gt;=B14,$C$4*C14,"")</f>
        <v>6900000</v>
      </c>
      <c r="I14" s="30">
        <f>IF(C7&gt;=3,$C$5*$C$4/G14,"")</f>
        <v>75000</v>
      </c>
      <c r="J14" s="30">
        <f>IF($C$7&gt;=B14,$C$6*C14*G14/2,"")</f>
        <v>138000</v>
      </c>
      <c r="K14" s="36">
        <f>IF($C$7&gt;=B14,SUM(H14:J14),"")</f>
        <v>7113000</v>
      </c>
    </row>
    <row r="15" spans="1:11">
      <c r="B15" s="32" t="str">
        <f>IF($C$7&gt;=4,4,"")</f>
        <v/>
      </c>
      <c r="C15" s="33"/>
      <c r="D15" s="37"/>
      <c r="E15" s="37"/>
      <c r="F15" s="35" t="str">
        <f>IF($C$7&gt;=B15,SQRT(2*$C$4*$C$5/($C$6*C15)),"")</f>
        <v/>
      </c>
      <c r="G15" s="35" t="str">
        <f>IF($C$7&gt;=4,MIN(E15,MAX(D15,F15)),"")</f>
        <v/>
      </c>
      <c r="H15" s="35" t="str">
        <f>IF($C$7&gt;=B15,$C$4*C15,"")</f>
        <v/>
      </c>
      <c r="I15" s="35" t="str">
        <f>IF(C7&gt;=4,$C$5*$C$4/G15,"")</f>
        <v/>
      </c>
      <c r="J15" s="35" t="str">
        <f>IF($C$7&gt;=B15,$C$6*C15*G15/2,"")</f>
        <v/>
      </c>
      <c r="K15" s="38" t="str">
        <f>IF($C$7&gt;=B15,SUM(H15:J15),"")</f>
        <v/>
      </c>
    </row>
    <row r="16" spans="1:11" ht="14" thickBot="1">
      <c r="B16" s="39" t="str">
        <f>IF($C$7&gt;=5,5,"")</f>
        <v/>
      </c>
      <c r="C16" s="40"/>
      <c r="D16" s="41"/>
      <c r="E16" s="41"/>
      <c r="F16" s="42" t="str">
        <f>IF($C$7&gt;=B16,SQRT(2*$C$4*$C$5/($C$6*C16)),"")</f>
        <v/>
      </c>
      <c r="G16" s="42" t="str">
        <f>IF($C$7&gt;=5,MIN(E16,MAX(D16,F16)),"")</f>
        <v/>
      </c>
      <c r="H16" s="42" t="str">
        <f>IF($C$7&gt;=B16,$C$4*C16,"")</f>
        <v/>
      </c>
      <c r="I16" s="42" t="str">
        <f>IF(C7&gt;=5,$C$5*$C$4/G16,"")</f>
        <v/>
      </c>
      <c r="J16" s="42" t="str">
        <f>IF($C$7&gt;=B16,$C$6*C16*G16/2,"")</f>
        <v/>
      </c>
      <c r="K16" s="43" t="str">
        <f>IF($C$7&gt;=B16,SUM(H16:J16),"")</f>
        <v/>
      </c>
    </row>
    <row r="17" spans="3:5">
      <c r="C17" s="5"/>
    </row>
    <row r="18" spans="3:5" ht="14" thickBot="1">
      <c r="D18" s="5" t="s">
        <v>31</v>
      </c>
    </row>
    <row r="19" spans="3:5">
      <c r="C19" s="44"/>
      <c r="D19" s="45" t="s">
        <v>32</v>
      </c>
      <c r="E19" s="46">
        <f>IF(E20=K12,G12,IF(E20=K13,G13,IF(E20=K14,G14,IF(E20=K15,G14,IF(E20=K16,G16)))))</f>
        <v>4000</v>
      </c>
    </row>
    <row r="20" spans="3:5" ht="14" thickBot="1">
      <c r="C20" s="47"/>
      <c r="D20" s="48" t="s">
        <v>33</v>
      </c>
      <c r="E20" s="49">
        <f>MIN(K12:K16)</f>
        <v>7113000</v>
      </c>
    </row>
  </sheetData>
  <dataValidations count="1">
    <dataValidation type="whole" allowBlank="1" showInputMessage="1" showErrorMessage="1" error="N must be an integer between 1 and 5." sqref="C7" xr:uid="{3E5D9E56-EBE6-EA44-A419-C9799FB2367F}">
      <formula1>1</formula1>
      <formula2>5</formula2>
    </dataValidation>
  </dataValidations>
  <pageMargins left="0.75" right="0.75" top="1" bottom="1" header="0.5" footer="0.5"/>
  <pageSetup paperSize="0" scale="89" orientation="landscape" horizontalDpi="4294967292" verticalDpi="429496729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7AC3-C36E-1046-9DF5-28B4B534E455}">
  <sheetPr>
    <pageSetUpPr fitToPage="1"/>
  </sheetPr>
  <dimension ref="A1:L26"/>
  <sheetViews>
    <sheetView topLeftCell="A3" zoomScale="163" workbookViewId="0">
      <selection activeCell="K14" sqref="K14"/>
    </sheetView>
  </sheetViews>
  <sheetFormatPr baseColWidth="10" defaultColWidth="10.7109375" defaultRowHeight="13"/>
  <cols>
    <col min="1" max="1" width="7.140625" style="4" customWidth="1"/>
    <col min="2" max="2" width="5.85546875" style="2" customWidth="1"/>
    <col min="3" max="3" width="8.7109375" style="3" customWidth="1"/>
    <col min="4" max="4" width="10.7109375" style="4"/>
    <col min="5" max="5" width="13" style="4" customWidth="1"/>
    <col min="6" max="6" width="8.7109375" style="2" customWidth="1"/>
    <col min="7" max="7" width="8.7109375" style="3" customWidth="1"/>
    <col min="8" max="11" width="12.7109375" style="4" customWidth="1"/>
    <col min="12" max="16384" width="10.7109375" style="4"/>
  </cols>
  <sheetData>
    <row r="1" spans="1:12" ht="18">
      <c r="A1" s="1" t="s">
        <v>0</v>
      </c>
    </row>
    <row r="3" spans="1:12" ht="14" thickBot="1">
      <c r="C3" s="5" t="s">
        <v>1</v>
      </c>
    </row>
    <row r="4" spans="1:12">
      <c r="B4" s="6" t="s">
        <v>2</v>
      </c>
      <c r="C4" s="7">
        <v>20000</v>
      </c>
      <c r="D4" s="8" t="s">
        <v>3</v>
      </c>
      <c r="E4" s="8"/>
      <c r="F4" s="9"/>
      <c r="G4" s="10"/>
    </row>
    <row r="5" spans="1:12">
      <c r="B5" s="11" t="s">
        <v>4</v>
      </c>
      <c r="C5" s="12">
        <v>15000</v>
      </c>
      <c r="D5" s="4" t="s">
        <v>5</v>
      </c>
      <c r="F5" s="13"/>
    </row>
    <row r="6" spans="1:12">
      <c r="B6" s="11" t="s">
        <v>6</v>
      </c>
      <c r="C6" s="14">
        <v>0.2</v>
      </c>
      <c r="D6" s="4" t="s">
        <v>7</v>
      </c>
      <c r="F6" s="13"/>
      <c r="G6" s="15" t="s">
        <v>8</v>
      </c>
    </row>
    <row r="7" spans="1:12" ht="14" thickBot="1">
      <c r="B7" s="16" t="s">
        <v>9</v>
      </c>
      <c r="C7" s="17">
        <v>3</v>
      </c>
      <c r="D7" s="18" t="s">
        <v>10</v>
      </c>
      <c r="E7" s="18"/>
      <c r="F7" s="19"/>
      <c r="G7" s="10"/>
    </row>
    <row r="8" spans="1:12">
      <c r="C8" s="5"/>
      <c r="G8" s="10"/>
      <c r="K8" s="20" t="s">
        <v>11</v>
      </c>
    </row>
    <row r="9" spans="1:12">
      <c r="B9" s="4"/>
      <c r="C9" s="4"/>
      <c r="G9" s="10"/>
      <c r="H9" s="3" t="s">
        <v>12</v>
      </c>
      <c r="I9" s="3" t="s">
        <v>12</v>
      </c>
      <c r="J9" s="3" t="s">
        <v>12</v>
      </c>
      <c r="K9" s="3" t="s">
        <v>13</v>
      </c>
    </row>
    <row r="10" spans="1:12">
      <c r="B10" s="4"/>
      <c r="C10" s="4"/>
      <c r="D10" s="21" t="s">
        <v>14</v>
      </c>
      <c r="E10" s="21"/>
      <c r="F10" s="22" t="s">
        <v>15</v>
      </c>
      <c r="G10" s="20" t="s">
        <v>16</v>
      </c>
      <c r="H10" s="3" t="s">
        <v>17</v>
      </c>
      <c r="I10" s="3" t="s">
        <v>18</v>
      </c>
      <c r="J10" s="3" t="s">
        <v>19</v>
      </c>
      <c r="K10" s="3" t="s">
        <v>20</v>
      </c>
    </row>
    <row r="11" spans="1:12" ht="14" thickBot="1">
      <c r="B11" s="2" t="s">
        <v>21</v>
      </c>
      <c r="C11" s="3" t="s">
        <v>22</v>
      </c>
      <c r="D11" s="3" t="s">
        <v>23</v>
      </c>
      <c r="E11" s="3" t="s">
        <v>24</v>
      </c>
      <c r="F11" s="23" t="s">
        <v>25</v>
      </c>
      <c r="G11" s="23" t="s">
        <v>26</v>
      </c>
      <c r="H11" s="23" t="s">
        <v>27</v>
      </c>
      <c r="I11" s="23" t="s">
        <v>27</v>
      </c>
      <c r="J11" s="24" t="s">
        <v>27</v>
      </c>
      <c r="K11" s="3" t="s">
        <v>27</v>
      </c>
      <c r="L11" s="4" t="s">
        <v>25</v>
      </c>
    </row>
    <row r="12" spans="1:12">
      <c r="A12" s="57" t="s">
        <v>28</v>
      </c>
      <c r="B12" s="25">
        <f>IF($C$7&gt;=1,1,"")</f>
        <v>1</v>
      </c>
      <c r="C12" s="26">
        <v>375</v>
      </c>
      <c r="D12" s="7">
        <v>0</v>
      </c>
      <c r="E12" s="58">
        <v>2999</v>
      </c>
      <c r="F12" s="27">
        <f>IF($C$7&gt;=B12,SQRT(2*$C$4*$C$5/($C$6*C12)),"")</f>
        <v>2828.4271247461902</v>
      </c>
      <c r="G12" s="28">
        <f>IF($C$7&gt;=1,MIN(E12,MAX(D12,F12)),"")</f>
        <v>2828.4271247461902</v>
      </c>
      <c r="H12" s="29">
        <f>IF($C$7&gt;=B12,$C$4*C12,"")</f>
        <v>7500000</v>
      </c>
      <c r="I12" s="29">
        <f>IF(C7&gt;=1,$C$5*$C$4/G12,"")</f>
        <v>106066.01717798212</v>
      </c>
      <c r="J12" s="30">
        <f>IF($C$7&gt;=B12,$C$6*C12*G12/2,"")</f>
        <v>106066.01717798214</v>
      </c>
      <c r="K12" s="31">
        <f>IF($C$7&gt;=B12,SUM(H12:J12),"")</f>
        <v>7712132.0343559645</v>
      </c>
    </row>
    <row r="13" spans="1:12">
      <c r="A13" s="57" t="s">
        <v>29</v>
      </c>
      <c r="B13" s="32">
        <f>IF($C$7&gt;=2,2,"")</f>
        <v>2</v>
      </c>
      <c r="C13" s="33">
        <v>360</v>
      </c>
      <c r="D13" s="14">
        <v>3000</v>
      </c>
      <c r="E13" s="59">
        <v>3999</v>
      </c>
      <c r="F13" s="34">
        <f>IF($C$7&gt;=B13,SQRT(2*$C$4*$C$5/($C$6*C13)),"")</f>
        <v>2886.7513459481288</v>
      </c>
      <c r="G13" s="35">
        <f>IF($C$7&gt;=2,MIN(E13,MAX(D13,F13)),"")</f>
        <v>3000</v>
      </c>
      <c r="H13" s="30">
        <f>IF($C$7&gt;=B13,$C$4*C13,"")</f>
        <v>7200000</v>
      </c>
      <c r="I13" s="30">
        <f>IF(C7&gt;=2,$C$5*$C$4/G13,"")</f>
        <v>100000</v>
      </c>
      <c r="J13" s="30">
        <f>IF($C$7&gt;=B13,$C$6*C13*G13/2,"")</f>
        <v>108000</v>
      </c>
      <c r="K13" s="36">
        <f>IF($C$7&gt;=B13,SUM(H13:J13),"")</f>
        <v>7408000</v>
      </c>
    </row>
    <row r="14" spans="1:12">
      <c r="A14" s="57" t="s">
        <v>30</v>
      </c>
      <c r="B14" s="32">
        <f>IF($C$7&gt;=3,3,"")</f>
        <v>3</v>
      </c>
      <c r="C14" s="33">
        <v>345</v>
      </c>
      <c r="D14" s="14">
        <v>4000</v>
      </c>
      <c r="E14" s="14">
        <v>10000</v>
      </c>
      <c r="F14" s="34">
        <f>IF($C$7&gt;=B14,SQRT(2*$C$4*$C$5/($C$6*C14)),"")</f>
        <v>2948.8391230979428</v>
      </c>
      <c r="G14" s="51">
        <f>IF($C$7&gt;=3,MIN(E14,MAX(D14,F14)),"")</f>
        <v>4000</v>
      </c>
      <c r="H14" s="30">
        <f>IF($C$7&gt;=B14,$C$4*C14,"")</f>
        <v>6900000</v>
      </c>
      <c r="I14" s="30">
        <f>IF(C7&gt;=3,$C$5*$C$4/G14,"")</f>
        <v>75000</v>
      </c>
      <c r="J14" s="30">
        <f>IF($C$7&gt;=B14,$C$6*C14*G14/2,"")</f>
        <v>138000</v>
      </c>
      <c r="K14" s="60">
        <f>IF($C$7&gt;=B14,SUM(H14:J14),"")</f>
        <v>7113000</v>
      </c>
    </row>
    <row r="15" spans="1:12">
      <c r="B15" s="32" t="str">
        <f>IF($C$7&gt;=4,4,"")</f>
        <v/>
      </c>
      <c r="C15" s="33"/>
      <c r="D15" s="37"/>
      <c r="E15" s="37"/>
      <c r="F15" s="35" t="str">
        <f>IF($C$7&gt;=B15,SQRT(2*$C$4*$C$5/($C$6*C15)),"")</f>
        <v/>
      </c>
      <c r="G15" s="35" t="str">
        <f>IF($C$7&gt;=4,MIN(E15,MAX(D15,F15)),"")</f>
        <v/>
      </c>
      <c r="H15" s="35" t="str">
        <f>IF($C$7&gt;=B15,$C$4*C15,"")</f>
        <v/>
      </c>
      <c r="I15" s="35" t="str">
        <f>IF(C7&gt;=4,$C$5*$C$4/G15,"")</f>
        <v/>
      </c>
      <c r="J15" s="35" t="str">
        <f>IF($C$7&gt;=B15,$C$6*C15*G15/2,"")</f>
        <v/>
      </c>
      <c r="K15" s="38" t="str">
        <f>IF($C$7&gt;=B15,SUM(H15:J15),"")</f>
        <v/>
      </c>
    </row>
    <row r="16" spans="1:12" ht="14" thickBot="1">
      <c r="B16" s="39" t="str">
        <f>IF($C$7&gt;=5,5,"")</f>
        <v/>
      </c>
      <c r="C16" s="40"/>
      <c r="D16" s="41"/>
      <c r="E16" s="41"/>
      <c r="F16" s="42" t="str">
        <f>IF($C$7&gt;=B16,SQRT(2*$C$4*$C$5/($C$6*C16)),"")</f>
        <v/>
      </c>
      <c r="G16" s="42" t="str">
        <f>IF($C$7&gt;=5,MIN(E16,MAX(D16,F16)),"")</f>
        <v/>
      </c>
      <c r="H16" s="42" t="str">
        <f>IF($C$7&gt;=B16,$C$4*C16,"")</f>
        <v/>
      </c>
      <c r="I16" s="42" t="str">
        <f>IF(C7&gt;=5,$C$5*$C$4/G16,"")</f>
        <v/>
      </c>
      <c r="J16" s="42" t="str">
        <f>IF($C$7&gt;=B16,$C$6*C16*G16/2,"")</f>
        <v/>
      </c>
      <c r="K16" s="43" t="str">
        <f>IF($C$7&gt;=B16,SUM(H16:J16),"")</f>
        <v/>
      </c>
    </row>
    <row r="17" spans="2:6">
      <c r="C17" s="5"/>
    </row>
    <row r="18" spans="2:6" ht="14" hidden="1" thickBot="1">
      <c r="D18" s="5" t="s">
        <v>31</v>
      </c>
    </row>
    <row r="19" spans="2:6" hidden="1">
      <c r="C19" s="44"/>
      <c r="D19" s="45" t="s">
        <v>32</v>
      </c>
      <c r="E19" s="46">
        <f>IF(E20=K12,G12,IF(E20=K13,G13,IF(E20=K14,G14,IF(E20=K15,G14,IF(E20=K16,G16)))))</f>
        <v>4000</v>
      </c>
    </row>
    <row r="20" spans="2:6" ht="14" hidden="1" thickBot="1">
      <c r="C20" s="47"/>
      <c r="D20" s="48" t="s">
        <v>33</v>
      </c>
      <c r="E20" s="49">
        <f>MIN(K12:K16)</f>
        <v>7113000</v>
      </c>
    </row>
    <row r="21" spans="2:6" hidden="1"/>
    <row r="22" spans="2:6" hidden="1"/>
    <row r="23" spans="2:6" hidden="1">
      <c r="B23" s="56" t="s">
        <v>35</v>
      </c>
    </row>
    <row r="24" spans="2:6" hidden="1"/>
    <row r="25" spans="2:6" hidden="1">
      <c r="C25" s="3" t="s">
        <v>36</v>
      </c>
      <c r="D25" s="4">
        <f>C4/E19</f>
        <v>5</v>
      </c>
    </row>
    <row r="26" spans="2:6" hidden="1">
      <c r="C26" s="3" t="s">
        <v>37</v>
      </c>
      <c r="D26" s="4">
        <f>1/D25</f>
        <v>0.2</v>
      </c>
      <c r="E26" s="4" t="s">
        <v>38</v>
      </c>
      <c r="F26" s="2">
        <f>D26*12</f>
        <v>2.4000000000000004</v>
      </c>
    </row>
  </sheetData>
  <dataValidations count="1">
    <dataValidation type="whole" allowBlank="1" showInputMessage="1" showErrorMessage="1" error="N must be an integer between 1 and 5." sqref="C7" xr:uid="{EFAA7300-2975-6845-87CE-69EF51B0BB33}">
      <formula1>1</formula1>
      <formula2>5</formula2>
    </dataValidation>
  </dataValidations>
  <pageMargins left="0.75" right="0.75" top="1" bottom="1" header="0.5" footer="0.5"/>
  <pageSetup paperSize="0" scale="89" orientation="landscape" horizontalDpi="4294967292" verticalDpi="429496729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E12AD-ECDB-DC4D-9275-9694C0A3E00B}">
  <sheetPr>
    <pageSetUpPr fitToPage="1"/>
  </sheetPr>
  <dimension ref="A1:K20"/>
  <sheetViews>
    <sheetView topLeftCell="B1" zoomScale="163" workbookViewId="0">
      <selection activeCell="E20" sqref="E20"/>
    </sheetView>
  </sheetViews>
  <sheetFormatPr baseColWidth="10" defaultColWidth="10.7109375" defaultRowHeight="13"/>
  <cols>
    <col min="1" max="1" width="7.140625" style="4" customWidth="1"/>
    <col min="2" max="2" width="5.85546875" style="2" customWidth="1"/>
    <col min="3" max="3" width="8.7109375" style="3" customWidth="1"/>
    <col min="4" max="4" width="10.7109375" style="4"/>
    <col min="5" max="5" width="13" style="4" customWidth="1"/>
    <col min="6" max="6" width="8.7109375" style="2" customWidth="1"/>
    <col min="7" max="7" width="8.7109375" style="3" customWidth="1"/>
    <col min="8" max="11" width="12.7109375" style="4" customWidth="1"/>
    <col min="12" max="16384" width="10.7109375" style="4"/>
  </cols>
  <sheetData>
    <row r="1" spans="1:11" ht="18">
      <c r="A1" s="1" t="s">
        <v>0</v>
      </c>
    </row>
    <row r="3" spans="1:11" ht="14" thickBot="1">
      <c r="C3" s="5" t="s">
        <v>1</v>
      </c>
    </row>
    <row r="4" spans="1:11">
      <c r="B4" s="6" t="s">
        <v>2</v>
      </c>
      <c r="C4" s="7">
        <v>2500</v>
      </c>
      <c r="D4" s="8" t="s">
        <v>3</v>
      </c>
      <c r="E4" s="8"/>
      <c r="F4" s="9"/>
      <c r="G4" s="10"/>
    </row>
    <row r="5" spans="1:11">
      <c r="B5" s="11" t="s">
        <v>4</v>
      </c>
      <c r="C5" s="12">
        <v>150</v>
      </c>
      <c r="D5" s="4" t="s">
        <v>5</v>
      </c>
      <c r="F5" s="13"/>
    </row>
    <row r="6" spans="1:11">
      <c r="B6" s="11" t="s">
        <v>6</v>
      </c>
      <c r="C6" s="14">
        <v>0.2</v>
      </c>
      <c r="D6" s="4" t="s">
        <v>7</v>
      </c>
      <c r="F6" s="13"/>
      <c r="G6" s="15" t="s">
        <v>8</v>
      </c>
    </row>
    <row r="7" spans="1:11" ht="14" thickBot="1">
      <c r="B7" s="16" t="s">
        <v>9</v>
      </c>
      <c r="C7" s="17">
        <v>3</v>
      </c>
      <c r="D7" s="18" t="s">
        <v>10</v>
      </c>
      <c r="E7" s="18"/>
      <c r="F7" s="19"/>
      <c r="G7" s="10"/>
    </row>
    <row r="8" spans="1:11">
      <c r="C8" s="5"/>
      <c r="G8" s="10"/>
      <c r="K8" s="20" t="s">
        <v>11</v>
      </c>
    </row>
    <row r="9" spans="1:11">
      <c r="B9" s="4"/>
      <c r="C9" s="4"/>
      <c r="G9" s="10"/>
      <c r="H9" s="3" t="s">
        <v>12</v>
      </c>
      <c r="I9" s="3" t="s">
        <v>12</v>
      </c>
      <c r="J9" s="3" t="s">
        <v>12</v>
      </c>
      <c r="K9" s="3" t="s">
        <v>13</v>
      </c>
    </row>
    <row r="10" spans="1:11">
      <c r="B10" s="4"/>
      <c r="C10" s="4"/>
      <c r="D10" s="21" t="s">
        <v>14</v>
      </c>
      <c r="E10" s="21"/>
      <c r="F10" s="22" t="s">
        <v>15</v>
      </c>
      <c r="G10" s="20" t="s">
        <v>16</v>
      </c>
      <c r="H10" s="3" t="s">
        <v>17</v>
      </c>
      <c r="I10" s="3" t="s">
        <v>18</v>
      </c>
      <c r="J10" s="3" t="s">
        <v>19</v>
      </c>
      <c r="K10" s="3" t="s">
        <v>20</v>
      </c>
    </row>
    <row r="11" spans="1:11" ht="14" thickBot="1">
      <c r="B11" s="2" t="s">
        <v>21</v>
      </c>
      <c r="C11" s="3" t="s">
        <v>22</v>
      </c>
      <c r="D11" s="3" t="s">
        <v>23</v>
      </c>
      <c r="E11" s="3" t="s">
        <v>24</v>
      </c>
      <c r="F11" s="23" t="s">
        <v>25</v>
      </c>
      <c r="G11" s="23" t="s">
        <v>26</v>
      </c>
      <c r="H11" s="23" t="s">
        <v>27</v>
      </c>
      <c r="I11" s="23" t="s">
        <v>27</v>
      </c>
      <c r="J11" s="24" t="s">
        <v>27</v>
      </c>
      <c r="K11" s="3" t="s">
        <v>27</v>
      </c>
    </row>
    <row r="12" spans="1:11">
      <c r="B12" s="25">
        <f>IF($C$7&gt;=1,1,"")</f>
        <v>1</v>
      </c>
      <c r="C12" s="26">
        <v>575</v>
      </c>
      <c r="D12" s="7">
        <v>0</v>
      </c>
      <c r="E12" s="7">
        <v>199</v>
      </c>
      <c r="F12" s="27">
        <f>IF($C$7&gt;=B12,SQRT(2*$C$4*$C$5/($C$6*C12)),"")</f>
        <v>80.757285308724832</v>
      </c>
      <c r="G12" s="28">
        <f>IF($C$7&gt;=1,MIN(E12,MAX(D12,F12)),"")</f>
        <v>80.757285308724832</v>
      </c>
      <c r="H12" s="29">
        <f>IF($C$7&gt;=B12,$C$4*C12,"")</f>
        <v>1437500</v>
      </c>
      <c r="I12" s="29">
        <f>IF(C7&gt;=1,$C$5*$C$4/G12,"")</f>
        <v>4643.5439052516767</v>
      </c>
      <c r="J12" s="30">
        <f>IF($C$7&gt;=B12,$C$6*C12*G12/2,"")</f>
        <v>4643.5439052516776</v>
      </c>
      <c r="K12" s="31">
        <f>IF($C$7&gt;=B12,SUM(H12:J12),"")</f>
        <v>1446787.0878105033</v>
      </c>
    </row>
    <row r="13" spans="1:11">
      <c r="B13" s="32">
        <f>IF($C$7&gt;=2,2,"")</f>
        <v>2</v>
      </c>
      <c r="C13" s="33">
        <v>550</v>
      </c>
      <c r="D13" s="14">
        <v>200</v>
      </c>
      <c r="E13" s="14">
        <v>399</v>
      </c>
      <c r="F13" s="34">
        <f>IF($C$7&gt;=B13,SQRT(2*$C$4*$C$5/($C$6*C13)),"")</f>
        <v>82.572282384477049</v>
      </c>
      <c r="G13" s="35">
        <f>IF($C$7&gt;=2,MIN(E13,MAX(D13,F13)),"")</f>
        <v>200</v>
      </c>
      <c r="H13" s="30">
        <f>IF($C$7&gt;=B13,$C$4*C13,"")</f>
        <v>1375000</v>
      </c>
      <c r="I13" s="30">
        <f>IF(C7&gt;=2,$C$5*$C$4/G13,"")</f>
        <v>1875</v>
      </c>
      <c r="J13" s="30">
        <f>IF($C$7&gt;=B13,$C$6*C13*G13/2,"")</f>
        <v>11000</v>
      </c>
      <c r="K13" s="36">
        <f>IF($C$7&gt;=B13,SUM(H13:J13),"")</f>
        <v>1387875</v>
      </c>
    </row>
    <row r="14" spans="1:11">
      <c r="B14" s="32">
        <f>IF($C$7&gt;=3,3,"")</f>
        <v>3</v>
      </c>
      <c r="C14" s="33">
        <v>500</v>
      </c>
      <c r="D14" s="14">
        <v>400</v>
      </c>
      <c r="E14" s="14">
        <v>10000</v>
      </c>
      <c r="F14" s="34">
        <f>IF($C$7&gt;=B14,SQRT(2*$C$4*$C$5/($C$6*C14)),"")</f>
        <v>86.602540378443862</v>
      </c>
      <c r="G14" s="51">
        <f>IF($C$7&gt;=3,MIN(E14,MAX(D14,F14)),"")</f>
        <v>400</v>
      </c>
      <c r="H14" s="30">
        <f>IF($C$7&gt;=B14,$C$4*C14,"")</f>
        <v>1250000</v>
      </c>
      <c r="I14" s="30">
        <f>IF(C7&gt;=3,$C$5*$C$4/G14,"")</f>
        <v>937.5</v>
      </c>
      <c r="J14" s="30">
        <f>IF($C$7&gt;=B14,$C$6*C14*G14/2,"")</f>
        <v>20000</v>
      </c>
      <c r="K14" s="36">
        <f>IF($C$7&gt;=B14,SUM(H14:J14),"")</f>
        <v>1270937.5</v>
      </c>
    </row>
    <row r="15" spans="1:11">
      <c r="B15" s="32" t="str">
        <f>IF($C$7&gt;=4,4,"")</f>
        <v/>
      </c>
      <c r="C15" s="33"/>
      <c r="D15" s="37"/>
      <c r="E15" s="37"/>
      <c r="F15" s="35" t="str">
        <f>IF($C$7&gt;=B15,SQRT(2*$C$4*$C$5/($C$6*C15)),"")</f>
        <v/>
      </c>
      <c r="G15" s="35" t="str">
        <f>IF($C$7&gt;=4,MIN(E15,MAX(D15,F15)),"")</f>
        <v/>
      </c>
      <c r="H15" s="35" t="str">
        <f>IF($C$7&gt;=B15,$C$4*C15,"")</f>
        <v/>
      </c>
      <c r="I15" s="35" t="str">
        <f>IF(C7&gt;=4,$C$5*$C$4/G15,"")</f>
        <v/>
      </c>
      <c r="J15" s="35" t="str">
        <f>IF($C$7&gt;=B15,$C$6*C15*G15/2,"")</f>
        <v/>
      </c>
      <c r="K15" s="38" t="str">
        <f>IF($C$7&gt;=B15,SUM(H15:J15),"")</f>
        <v/>
      </c>
    </row>
    <row r="16" spans="1:11" ht="14" thickBot="1">
      <c r="B16" s="39" t="str">
        <f>IF($C$7&gt;=5,5,"")</f>
        <v/>
      </c>
      <c r="C16" s="40"/>
      <c r="D16" s="41"/>
      <c r="E16" s="41"/>
      <c r="F16" s="42" t="str">
        <f>IF($C$7&gt;=B16,SQRT(2*$C$4*$C$5/($C$6*C16)),"")</f>
        <v/>
      </c>
      <c r="G16" s="42" t="str">
        <f>IF($C$7&gt;=5,MIN(E16,MAX(D16,F16)),"")</f>
        <v/>
      </c>
      <c r="H16" s="42" t="str">
        <f>IF($C$7&gt;=B16,$C$4*C16,"")</f>
        <v/>
      </c>
      <c r="I16" s="42" t="str">
        <f>IF(C7&gt;=5,$C$5*$C$4/G16,"")</f>
        <v/>
      </c>
      <c r="J16" s="42" t="str">
        <f>IF($C$7&gt;=B16,$C$6*C16*G16/2,"")</f>
        <v/>
      </c>
      <c r="K16" s="43" t="str">
        <f>IF($C$7&gt;=B16,SUM(H16:J16),"")</f>
        <v/>
      </c>
    </row>
    <row r="17" spans="3:5">
      <c r="C17" s="5"/>
    </row>
    <row r="18" spans="3:5" ht="14" thickBot="1">
      <c r="D18" s="5" t="s">
        <v>31</v>
      </c>
    </row>
    <row r="19" spans="3:5">
      <c r="C19" s="44"/>
      <c r="D19" s="45" t="s">
        <v>32</v>
      </c>
      <c r="E19" s="46">
        <f>IF(E20=K12,G12,IF(E20=K13,G13,IF(E20=K14,G14,IF(E20=K15,G14,IF(E20=K16,G16)))))</f>
        <v>400</v>
      </c>
    </row>
    <row r="20" spans="3:5" ht="14" thickBot="1">
      <c r="C20" s="47"/>
      <c r="D20" s="48" t="s">
        <v>33</v>
      </c>
      <c r="E20" s="49">
        <f>MIN(K12:K16)</f>
        <v>1270937.5</v>
      </c>
    </row>
  </sheetData>
  <dataValidations count="1">
    <dataValidation type="whole" allowBlank="1" showInputMessage="1" showErrorMessage="1" error="N must be an integer between 1 and 5." sqref="C7" xr:uid="{04246086-EFBE-A74A-8932-B2EC7EB40CDD}">
      <formula1>1</formula1>
      <formula2>5</formula2>
    </dataValidation>
  </dataValidations>
  <pageMargins left="0.75" right="0.75" top="1" bottom="1" header="0.5" footer="0.5"/>
  <pageSetup paperSize="0" scale="89" orientation="landscape" horizontalDpi="4294967292" verticalDpi="429496729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EAECA-D3DE-7D45-852E-D37EA412455D}">
  <sheetPr>
    <pageSetUpPr fitToPage="1"/>
  </sheetPr>
  <dimension ref="A1:K20"/>
  <sheetViews>
    <sheetView tabSelected="1" topLeftCell="M1" zoomScale="163" workbookViewId="0">
      <selection activeCell="E2" sqref="E2"/>
    </sheetView>
  </sheetViews>
  <sheetFormatPr baseColWidth="10" defaultColWidth="10.7109375" defaultRowHeight="13"/>
  <cols>
    <col min="1" max="1" width="7.140625" style="4" customWidth="1"/>
    <col min="2" max="2" width="5.85546875" style="2" customWidth="1"/>
    <col min="3" max="3" width="8.7109375" style="3" customWidth="1"/>
    <col min="4" max="4" width="10.7109375" style="4"/>
    <col min="5" max="5" width="13" style="4" customWidth="1"/>
    <col min="6" max="6" width="8.7109375" style="2" customWidth="1"/>
    <col min="7" max="7" width="8.7109375" style="3" customWidth="1"/>
    <col min="8" max="11" width="12.7109375" style="4" customWidth="1"/>
    <col min="12" max="16384" width="10.7109375" style="4"/>
  </cols>
  <sheetData>
    <row r="1" spans="1:11" ht="18">
      <c r="A1" s="1" t="s">
        <v>0</v>
      </c>
    </row>
    <row r="3" spans="1:11" ht="14" thickBot="1">
      <c r="C3" s="5" t="s">
        <v>1</v>
      </c>
    </row>
    <row r="4" spans="1:11">
      <c r="B4" s="6" t="s">
        <v>2</v>
      </c>
      <c r="C4" s="7">
        <v>5000</v>
      </c>
      <c r="D4" s="8" t="s">
        <v>3</v>
      </c>
      <c r="E4" s="8"/>
      <c r="F4" s="9"/>
      <c r="G4" s="10"/>
    </row>
    <row r="5" spans="1:11">
      <c r="B5" s="11" t="s">
        <v>4</v>
      </c>
      <c r="C5" s="12">
        <v>49</v>
      </c>
      <c r="D5" s="4" t="s">
        <v>5</v>
      </c>
      <c r="F5" s="13"/>
    </row>
    <row r="6" spans="1:11">
      <c r="B6" s="11" t="s">
        <v>6</v>
      </c>
      <c r="C6" s="14">
        <v>0.2</v>
      </c>
      <c r="D6" s="4" t="s">
        <v>7</v>
      </c>
      <c r="F6" s="13"/>
      <c r="G6" s="15" t="s">
        <v>8</v>
      </c>
    </row>
    <row r="7" spans="1:11" ht="14" thickBot="1">
      <c r="B7" s="16" t="s">
        <v>9</v>
      </c>
      <c r="C7" s="17">
        <v>3</v>
      </c>
      <c r="D7" s="18" t="s">
        <v>10</v>
      </c>
      <c r="E7" s="18"/>
      <c r="F7" s="19"/>
      <c r="G7" s="10"/>
    </row>
    <row r="8" spans="1:11">
      <c r="C8" s="5"/>
      <c r="G8" s="10"/>
      <c r="K8" s="20" t="s">
        <v>11</v>
      </c>
    </row>
    <row r="9" spans="1:11">
      <c r="B9" s="4"/>
      <c r="C9" s="4"/>
      <c r="G9" s="10"/>
      <c r="H9" s="3" t="s">
        <v>12</v>
      </c>
      <c r="I9" s="3" t="s">
        <v>12</v>
      </c>
      <c r="J9" s="3" t="s">
        <v>12</v>
      </c>
      <c r="K9" s="3" t="s">
        <v>13</v>
      </c>
    </row>
    <row r="10" spans="1:11">
      <c r="B10" s="4"/>
      <c r="C10" s="4"/>
      <c r="D10" s="21" t="s">
        <v>14</v>
      </c>
      <c r="E10" s="21"/>
      <c r="F10" s="22" t="s">
        <v>15</v>
      </c>
      <c r="G10" s="20" t="s">
        <v>16</v>
      </c>
      <c r="H10" s="3" t="s">
        <v>17</v>
      </c>
      <c r="I10" s="3" t="s">
        <v>18</v>
      </c>
      <c r="J10" s="3" t="s">
        <v>19</v>
      </c>
      <c r="K10" s="3" t="s">
        <v>20</v>
      </c>
    </row>
    <row r="11" spans="1:11" ht="14" thickBot="1">
      <c r="B11" s="2" t="s">
        <v>21</v>
      </c>
      <c r="C11" s="3" t="s">
        <v>22</v>
      </c>
      <c r="D11" s="3" t="s">
        <v>23</v>
      </c>
      <c r="E11" s="3" t="s">
        <v>24</v>
      </c>
      <c r="F11" s="23" t="s">
        <v>25</v>
      </c>
      <c r="G11" s="23" t="s">
        <v>26</v>
      </c>
      <c r="H11" s="23" t="s">
        <v>27</v>
      </c>
      <c r="I11" s="23" t="s">
        <v>27</v>
      </c>
      <c r="J11" s="24" t="s">
        <v>27</v>
      </c>
      <c r="K11" s="3" t="s">
        <v>27</v>
      </c>
    </row>
    <row r="12" spans="1:11">
      <c r="A12" s="4" t="s">
        <v>28</v>
      </c>
      <c r="B12" s="25">
        <f>IF($C$7&gt;=1,1,"")</f>
        <v>1</v>
      </c>
      <c r="C12" s="26">
        <v>5</v>
      </c>
      <c r="D12" s="7">
        <v>0</v>
      </c>
      <c r="E12" s="7">
        <v>999</v>
      </c>
      <c r="F12" s="27">
        <f>IF($C$7&gt;=B12,SQRT(2*$C$4*$C$5/($C$6*C12)),"")</f>
        <v>700</v>
      </c>
      <c r="G12" s="28">
        <f>IF($C$7&gt;=1,MIN(E12,MAX(D12,F12)),"")</f>
        <v>700</v>
      </c>
      <c r="H12" s="29">
        <f>IF($C$7&gt;=B12,$C$4*C12,"")</f>
        <v>25000</v>
      </c>
      <c r="I12" s="29">
        <f>IF(C7&gt;=1,$C$5*$C$4/G12,"")</f>
        <v>350</v>
      </c>
      <c r="J12" s="30">
        <f>IF($C$7&gt;=B12,$C$6*C12*G12/2,"")</f>
        <v>350</v>
      </c>
      <c r="K12" s="31">
        <f>IF($C$7&gt;=B12,SUM(H12:J12),"")</f>
        <v>25700</v>
      </c>
    </row>
    <row r="13" spans="1:11">
      <c r="A13" s="4" t="s">
        <v>29</v>
      </c>
      <c r="B13" s="32">
        <f>IF($C$7&gt;=2,2,"")</f>
        <v>2</v>
      </c>
      <c r="C13" s="33">
        <v>4.8</v>
      </c>
      <c r="D13" s="14">
        <v>1000</v>
      </c>
      <c r="E13" s="14">
        <v>1999</v>
      </c>
      <c r="F13" s="34">
        <f>IF($C$7&gt;=B13,SQRT(2*$C$4*$C$5/($C$6*C13)),"")</f>
        <v>714.43450831176028</v>
      </c>
      <c r="G13" s="35">
        <f>IF($C$7&gt;=2,MIN(E13,MAX(D13,F13)),"")</f>
        <v>1000</v>
      </c>
      <c r="H13" s="30">
        <f>IF($C$7&gt;=B13,$C$4*C13,"")</f>
        <v>24000</v>
      </c>
      <c r="I13" s="30">
        <f>IF(C7&gt;=2,$C$5*$C$4/G13,"")</f>
        <v>245</v>
      </c>
      <c r="J13" s="30">
        <f>IF($C$7&gt;=B13,$C$6*C13*G13/2,"")</f>
        <v>480</v>
      </c>
      <c r="K13" s="36">
        <f>IF($C$7&gt;=B13,SUM(H13:J13),"")</f>
        <v>24725</v>
      </c>
    </row>
    <row r="14" spans="1:11">
      <c r="A14" s="4" t="s">
        <v>30</v>
      </c>
      <c r="B14" s="32">
        <f>IF($C$7&gt;=3,3,"")</f>
        <v>3</v>
      </c>
      <c r="C14" s="33">
        <v>4.75</v>
      </c>
      <c r="D14" s="14">
        <v>2000</v>
      </c>
      <c r="E14" s="14">
        <v>10000</v>
      </c>
      <c r="F14" s="34">
        <f>IF($C$7&gt;=B14,SQRT(2*$C$4*$C$5/($C$6*C14)),"")</f>
        <v>718.1848464596078</v>
      </c>
      <c r="G14" s="51">
        <f>IF($C$7&gt;=3,MIN(E14,MAX(D14,F14)),"")</f>
        <v>2000</v>
      </c>
      <c r="H14" s="30">
        <f>IF($C$7&gt;=B14,$C$4*C14,"")</f>
        <v>23750</v>
      </c>
      <c r="I14" s="30">
        <f>IF(C7&gt;=3,$C$5*$C$4/G14,"")</f>
        <v>122.5</v>
      </c>
      <c r="J14" s="30">
        <f>IF($C$7&gt;=B14,$C$6*C14*G14/2,"")</f>
        <v>950.00000000000011</v>
      </c>
      <c r="K14" s="36">
        <f>IF($C$7&gt;=B14,SUM(H14:J14),"")</f>
        <v>24822.5</v>
      </c>
    </row>
    <row r="15" spans="1:11">
      <c r="B15" s="32" t="str">
        <f>IF($C$7&gt;=4,4,"")</f>
        <v/>
      </c>
      <c r="C15" s="33"/>
      <c r="D15" s="37"/>
      <c r="E15" s="37"/>
      <c r="F15" s="35" t="str">
        <f>IF($C$7&gt;=B15,SQRT(2*$C$4*$C$5/($C$6*C15)),"")</f>
        <v/>
      </c>
      <c r="G15" s="35" t="str">
        <f>IF($C$7&gt;=4,MIN(E15,MAX(D15,F15)),"")</f>
        <v/>
      </c>
      <c r="H15" s="35" t="str">
        <f>IF($C$7&gt;=B15,$C$4*C15,"")</f>
        <v/>
      </c>
      <c r="I15" s="35" t="str">
        <f>IF(C7&gt;=4,$C$5*$C$4/G15,"")</f>
        <v/>
      </c>
      <c r="J15" s="35" t="str">
        <f>IF($C$7&gt;=B15,$C$6*C15*G15/2,"")</f>
        <v/>
      </c>
      <c r="K15" s="38" t="str">
        <f>IF($C$7&gt;=B15,SUM(H15:J15),"")</f>
        <v/>
      </c>
    </row>
    <row r="16" spans="1:11" ht="14" thickBot="1">
      <c r="B16" s="39" t="str">
        <f>IF($C$7&gt;=5,5,"")</f>
        <v/>
      </c>
      <c r="C16" s="40"/>
      <c r="D16" s="41"/>
      <c r="E16" s="41"/>
      <c r="F16" s="42" t="str">
        <f>IF($C$7&gt;=B16,SQRT(2*$C$4*$C$5/($C$6*C16)),"")</f>
        <v/>
      </c>
      <c r="G16" s="42" t="str">
        <f>IF($C$7&gt;=5,MIN(E16,MAX(D16,F16)),"")</f>
        <v/>
      </c>
      <c r="H16" s="42" t="str">
        <f>IF($C$7&gt;=B16,$C$4*C16,"")</f>
        <v/>
      </c>
      <c r="I16" s="42" t="str">
        <f>IF(C7&gt;=5,$C$5*$C$4/G16,"")</f>
        <v/>
      </c>
      <c r="J16" s="42" t="str">
        <f>IF($C$7&gt;=B16,$C$6*C16*G16/2,"")</f>
        <v/>
      </c>
      <c r="K16" s="43" t="str">
        <f>IF($C$7&gt;=B16,SUM(H16:J16),"")</f>
        <v/>
      </c>
    </row>
    <row r="17" spans="3:5">
      <c r="C17" s="5"/>
    </row>
    <row r="18" spans="3:5" ht="14" thickBot="1">
      <c r="D18" s="5" t="s">
        <v>31</v>
      </c>
    </row>
    <row r="19" spans="3:5">
      <c r="C19" s="44"/>
      <c r="D19" s="45" t="s">
        <v>32</v>
      </c>
      <c r="E19" s="46">
        <f>IF(E20=K12,G12,IF(E20=K13,G13,IF(E20=K14,G14,IF(E20=K15,G14,IF(E20=K16,G16)))))</f>
        <v>1000</v>
      </c>
    </row>
    <row r="20" spans="3:5" ht="14" thickBot="1">
      <c r="C20" s="47"/>
      <c r="D20" s="48" t="s">
        <v>33</v>
      </c>
      <c r="E20" s="49">
        <f>MIN(K12:K16)</f>
        <v>24725</v>
      </c>
    </row>
  </sheetData>
  <dataValidations count="1">
    <dataValidation type="whole" allowBlank="1" showInputMessage="1" showErrorMessage="1" error="N must be an integer between 1 and 5." sqref="C7" xr:uid="{C02E000F-2D3C-A944-A9D8-01EE2B466D16}">
      <formula1>1</formula1>
      <formula2>5</formula2>
    </dataValidation>
  </dataValidations>
  <pageMargins left="0.75" right="0.75" top="1" bottom="1" header="0.5" footer="0.5"/>
  <pageSetup paperSize="0" scale="89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EJERCICIO DESCUENTOS COCHES PPT</vt:lpstr>
      <vt:lpstr>EJERCICIO DESCUENTOS AVTEK AULA</vt:lpstr>
      <vt:lpstr>EJERCICIO DESCUENTOS CRYSTALIER</vt:lpstr>
      <vt:lpstr>EJERCICIO DESCUENTOS CRYSTA (2)</vt:lpstr>
      <vt:lpstr>EJERCICIO DESCUENTOS BODEGA</vt:lpstr>
      <vt:lpstr>EJERCICIO DESCUENTOS COMP.IND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Llanos Cuenca</dc:creator>
  <cp:lastModifiedBy>Llanos Cuenca</cp:lastModifiedBy>
  <dcterms:created xsi:type="dcterms:W3CDTF">2025-09-26T09:01:14Z</dcterms:created>
  <dcterms:modified xsi:type="dcterms:W3CDTF">2025-09-26T14:14:37Z</dcterms:modified>
</cp:coreProperties>
</file>