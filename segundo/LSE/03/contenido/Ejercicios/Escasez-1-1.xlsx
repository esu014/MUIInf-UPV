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lanoscuenca/Documents/DOCENCIA/LSE -MUIINF/Logistica/"/>
    </mc:Choice>
  </mc:AlternateContent>
  <xr:revisionPtr revIDLastSave="0" documentId="13_ncr:1_{F8BAB47F-C01A-8849-AF79-D6570821C54F}" xr6:coauthVersionLast="47" xr6:coauthVersionMax="47" xr10:uidLastSave="{00000000-0000-0000-0000-000000000000}"/>
  <bookViews>
    <workbookView xWindow="0" yWindow="960" windowWidth="29440" windowHeight="16100" xr2:uid="{04771879-3BBD-FA4F-9F85-4E82955E7F80}"/>
  </bookViews>
  <sheets>
    <sheet name="EJERCICIO ESCASEZ" sheetId="1" r:id="rId1"/>
    <sheet name="Comparador" sheetId="2" r:id="rId2"/>
    <sheet name="EJERCICIO ESCASEZ MAQ.AGRÍCOLA" sheetId="3" r:id="rId3"/>
    <sheet name="EJERCICIO ESCASEZ FORD" sheetId="4" r:id="rId4"/>
    <sheet name="EJERCICIO Artículo Básic" sheetId="5" r:id="rId5"/>
  </sheets>
  <definedNames>
    <definedName name="sencount" hidden="1">4</definedName>
    <definedName name="sencount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C25" i="5"/>
  <c r="D23" i="5"/>
  <c r="C11" i="5"/>
  <c r="C12" i="5" s="1"/>
  <c r="C11" i="4"/>
  <c r="D22" i="4" s="1"/>
  <c r="C11" i="3"/>
  <c r="C12" i="3" s="1"/>
  <c r="E26" i="3" s="1"/>
  <c r="E27" i="3" s="1"/>
  <c r="B17" i="2"/>
  <c r="B20" i="2" s="1"/>
  <c r="B10" i="2"/>
  <c r="B11" i="2" s="1"/>
  <c r="H4" i="5" l="1"/>
  <c r="H7" i="5" s="1"/>
  <c r="H6" i="5"/>
  <c r="H8" i="5"/>
  <c r="C12" i="4"/>
  <c r="H6" i="4"/>
  <c r="H4" i="3"/>
  <c r="H7" i="3" s="1"/>
  <c r="H6" i="3"/>
  <c r="H8" i="3"/>
  <c r="B21" i="2"/>
  <c r="B12" i="2"/>
  <c r="B13" i="2"/>
  <c r="B18" i="2"/>
  <c r="B23" i="2" s="1"/>
  <c r="H10" i="5" l="1"/>
  <c r="H4" i="4"/>
  <c r="H9" i="3"/>
  <c r="B19" i="2"/>
  <c r="B22" i="2" s="1"/>
  <c r="B14" i="2"/>
  <c r="E12" i="2" s="1"/>
  <c r="B24" i="2"/>
  <c r="E13" i="2" s="1"/>
  <c r="E15" i="2" s="1"/>
  <c r="H7" i="4" l="1"/>
  <c r="H8" i="4"/>
  <c r="C10" i="1"/>
  <c r="C11" i="1" s="1"/>
  <c r="H4" i="1" s="1"/>
  <c r="H9" i="4" l="1"/>
  <c r="H6" i="1"/>
  <c r="H7" i="1"/>
  <c r="H8" i="1"/>
  <c r="H9" i="1" l="1"/>
</calcChain>
</file>

<file path=xl/sharedStrings.xml><?xml version="1.0" encoding="utf-8"?>
<sst xmlns="http://schemas.openxmlformats.org/spreadsheetml/2006/main" count="132" uniqueCount="58">
  <si>
    <t>EOQ Model with Planned Shortages (Analytical)</t>
  </si>
  <si>
    <t>Data</t>
  </si>
  <si>
    <t>Results</t>
  </si>
  <si>
    <t>D =</t>
  </si>
  <si>
    <t>(demand/year)</t>
  </si>
  <si>
    <t>Max Inventory Level =</t>
  </si>
  <si>
    <t>K =</t>
  </si>
  <si>
    <t>(setup cost)</t>
  </si>
  <si>
    <t>h =</t>
  </si>
  <si>
    <t>(unit holding cost)</t>
  </si>
  <si>
    <t>Annual Setup Cost =</t>
  </si>
  <si>
    <t>B =</t>
  </si>
  <si>
    <t>(unit shortage cost)</t>
  </si>
  <si>
    <t>Annual Holding Cost =</t>
  </si>
  <si>
    <t>Annual Shortage Cost =</t>
  </si>
  <si>
    <t>Decision</t>
  </si>
  <si>
    <t>Total Variable Cost =</t>
  </si>
  <si>
    <t>Q =</t>
  </si>
  <si>
    <t>(order quantity)</t>
  </si>
  <si>
    <t>S =</t>
  </si>
  <si>
    <t>(maximum shortage)</t>
  </si>
  <si>
    <t>Comparador EOQ: Sin faltantes vs Con faltantes</t>
  </si>
  <si>
    <t>Parámetros (editar aquí)</t>
  </si>
  <si>
    <t>Demanda anual (D)</t>
  </si>
  <si>
    <t>Costo por pedido (K)</t>
  </si>
  <si>
    <t>Costo anual de mantener (h)</t>
  </si>
  <si>
    <t>Costo anual de faltante (B)</t>
  </si>
  <si>
    <t>Política A: EOQ sin faltantes</t>
  </si>
  <si>
    <t>EOQ (Q_A)</t>
  </si>
  <si>
    <t>Comparación</t>
  </si>
  <si>
    <t>Nº pedidos/año</t>
  </si>
  <si>
    <t>Costo de pedidos</t>
  </si>
  <si>
    <t>CT_A</t>
  </si>
  <si>
    <t>Costo de mantenimiento</t>
  </si>
  <si>
    <t>CT_B</t>
  </si>
  <si>
    <t>Costo total (CT_A)</t>
  </si>
  <si>
    <t>Mejor opción</t>
  </si>
  <si>
    <t>Política B: EOQ con faltantes permitidos</t>
  </si>
  <si>
    <t>EOQ (Q_B)</t>
  </si>
  <si>
    <t>Faltante máximo (S*)</t>
  </si>
  <si>
    <t>Inventario máximo (Q_B - S*)</t>
  </si>
  <si>
    <t>Costo de faltantes</t>
  </si>
  <si>
    <t>Costo total (CT_B)</t>
  </si>
  <si>
    <t>Ca</t>
  </si>
  <si>
    <t>Hoding cost fijo</t>
  </si>
  <si>
    <t>(purchase cost)</t>
  </si>
  <si>
    <t>Hoding cost % purchase cost</t>
  </si>
  <si>
    <t xml:space="preserve">d) Cuanto tiempo se está sin poder servir los pedidos en cada ciclo? </t>
  </si>
  <si>
    <t>e) Si el tiempo de entrega para un pedido es de 45 días, ¿Cuál es el punto de
reabastecimiento? Si días trabajados 250, punto de reabastecimiento= 90</t>
  </si>
  <si>
    <t>S*/D</t>
  </si>
  <si>
    <t>tiempo de escasez=</t>
  </si>
  <si>
    <t>días</t>
  </si>
  <si>
    <t>Días año</t>
  </si>
  <si>
    <t>ts</t>
  </si>
  <si>
    <t>años</t>
  </si>
  <si>
    <t>Pedidos al año: f =</t>
  </si>
  <si>
    <t>Ca =</t>
  </si>
  <si>
    <t>Tiempo entre pedidos Tr=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</si>
</sst>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.00"/>
    <numFmt numFmtId="167" formatCode="0.000"/>
  </numFmts>
  <fonts count="12">
    <font>
      <sz val="10"/>
      <name val="Geneva"/>
      <family val="2"/>
    </font>
    <font>
      <b/>
      <sz val="14"/>
      <name val="Helv"/>
    </font>
    <font>
      <sz val="10"/>
      <name val="Helv"/>
    </font>
    <font>
      <b/>
      <sz val="10"/>
      <name val="Helv"/>
    </font>
    <font>
      <u/>
      <sz val="10"/>
      <name val="Helv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0"/>
      <name val="Helvetica"/>
      <family val="2"/>
    </font>
    <font>
      <sz val="10"/>
      <color rgb="FFFF0000"/>
      <name val="Helv"/>
    </font>
    <font>
      <sz val="8"/>
      <color rgb="FFFF0000"/>
      <name val="Helv"/>
    </font>
    <font>
      <sz val="14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2" fillId="0" borderId="1" xfId="0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0" borderId="3" xfId="0" applyFont="1" applyBorder="1"/>
    <xf numFmtId="2" fontId="2" fillId="4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right"/>
    </xf>
    <xf numFmtId="164" fontId="2" fillId="3" borderId="0" xfId="0" applyNumberFormat="1" applyFont="1" applyFill="1" applyAlignment="1">
      <alignment horizontal="center"/>
    </xf>
    <xf numFmtId="0" fontId="2" fillId="0" borderId="5" xfId="0" applyFont="1" applyBorder="1"/>
    <xf numFmtId="0" fontId="2" fillId="4" borderId="5" xfId="0" applyFont="1" applyFill="1" applyBorder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6" fontId="2" fillId="4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right"/>
    </xf>
    <xf numFmtId="165" fontId="2" fillId="3" borderId="7" xfId="0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166" fontId="2" fillId="4" borderId="10" xfId="0" applyNumberFormat="1" applyFont="1" applyFill="1" applyBorder="1" applyAlignment="1">
      <alignment horizontal="center"/>
    </xf>
    <xf numFmtId="166" fontId="2" fillId="4" borderId="8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2" fontId="2" fillId="4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/>
    <xf numFmtId="0" fontId="7" fillId="0" borderId="0" xfId="1" applyFont="1"/>
    <xf numFmtId="0" fontId="5" fillId="0" borderId="11" xfId="1" applyBorder="1"/>
    <xf numFmtId="0" fontId="7" fillId="2" borderId="0" xfId="1" applyFont="1" applyFill="1"/>
    <xf numFmtId="0" fontId="5" fillId="0" borderId="12" xfId="1" applyBorder="1"/>
    <xf numFmtId="2" fontId="5" fillId="0" borderId="12" xfId="1" applyNumberFormat="1" applyBorder="1"/>
    <xf numFmtId="0" fontId="7" fillId="5" borderId="12" xfId="1" applyFont="1" applyFill="1" applyBorder="1"/>
    <xf numFmtId="0" fontId="7" fillId="6" borderId="0" xfId="1" applyFont="1" applyFill="1"/>
    <xf numFmtId="0" fontId="8" fillId="0" borderId="0" xfId="0" applyFont="1"/>
    <xf numFmtId="9" fontId="8" fillId="0" borderId="0" xfId="0" applyNumberFormat="1" applyFont="1"/>
    <xf numFmtId="0" fontId="8" fillId="0" borderId="12" xfId="0" applyFont="1" applyBorder="1"/>
    <xf numFmtId="9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12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2" fillId="7" borderId="12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1" fillId="0" borderId="0" xfId="0" applyFont="1"/>
    <xf numFmtId="165" fontId="2" fillId="3" borderId="12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right"/>
    </xf>
    <xf numFmtId="2" fontId="8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6" fillId="0" borderId="0" xfId="1" applyFont="1" applyAlignment="1">
      <alignment horizontal="center"/>
    </xf>
    <xf numFmtId="0" fontId="5" fillId="0" borderId="0" xfId="1"/>
    <xf numFmtId="1" fontId="2" fillId="4" borderId="2" xfId="0" applyNumberFormat="1" applyFont="1" applyFill="1" applyBorder="1" applyAlignment="1">
      <alignment horizontal="center"/>
    </xf>
    <xf numFmtId="1" fontId="2" fillId="4" borderId="7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929AB33D-4BA3-F04F-A89F-C603B2881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13</xdr:row>
      <xdr:rowOff>69850</xdr:rowOff>
    </xdr:from>
    <xdr:to>
      <xdr:col>4</xdr:col>
      <xdr:colOff>42863</xdr:colOff>
      <xdr:row>19</xdr:row>
      <xdr:rowOff>87313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79CEC2-6A2E-E74B-212C-F4A3586EF1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330450"/>
          <a:ext cx="2570163" cy="10080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544513</xdr:colOff>
      <xdr:row>13</xdr:row>
      <xdr:rowOff>69850</xdr:rowOff>
    </xdr:from>
    <xdr:to>
      <xdr:col>6</xdr:col>
      <xdr:colOff>1752600</xdr:colOff>
      <xdr:row>19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5DE6E5-4E64-D4D1-5423-432737EB65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213" y="2330450"/>
          <a:ext cx="2058987" cy="936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169333</xdr:colOff>
      <xdr:row>14</xdr:row>
      <xdr:rowOff>67733</xdr:rowOff>
    </xdr:from>
    <xdr:to>
      <xdr:col>3</xdr:col>
      <xdr:colOff>1367896</xdr:colOff>
      <xdr:row>20</xdr:row>
      <xdr:rowOff>85196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62CC06-2A88-C0A0-DE9C-390338F486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866" y="2531533"/>
          <a:ext cx="2578630" cy="10334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1624013</xdr:colOff>
      <xdr:row>15</xdr:row>
      <xdr:rowOff>16933</xdr:rowOff>
    </xdr:from>
    <xdr:to>
      <xdr:col>6</xdr:col>
      <xdr:colOff>21167</xdr:colOff>
      <xdr:row>20</xdr:row>
      <xdr:rowOff>128058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A8EBC7-2CB6-F00B-C299-F569874D27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613" y="2650066"/>
          <a:ext cx="2063221" cy="9577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372534</xdr:colOff>
      <xdr:row>16</xdr:row>
      <xdr:rowOff>160867</xdr:rowOff>
    </xdr:from>
    <xdr:to>
      <xdr:col>8</xdr:col>
      <xdr:colOff>135467</xdr:colOff>
      <xdr:row>18</xdr:row>
      <xdr:rowOff>150496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A4FF4C13-E126-EA48-9ABC-BB6E13663841}"/>
            </a:ext>
          </a:extLst>
        </xdr:cNvPr>
        <xdr:cNvSpPr txBox="1">
          <a:spLocks noChangeArrowheads="1"/>
        </xdr:cNvSpPr>
      </xdr:nvSpPr>
      <xdr:spPr bwMode="auto">
        <a:xfrm>
          <a:off x="5664201" y="2963334"/>
          <a:ext cx="2937933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s-ES"/>
          </a:defPPr>
          <a:lvl1pPr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Font typeface="Wingdings" pitchFamily="2" charset="2"/>
            <a:buChar char="§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Font typeface="Courier New" panose="02070309020205020404" pitchFamily="49" charset="0"/>
            <a:buChar char="o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•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–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9pPr>
        </a:lstStyle>
        <a:p>
          <a:pPr algn="ctr">
            <a:spcBef>
              <a:spcPct val="50000"/>
            </a:spcBef>
            <a:buClrTx/>
            <a:buFontTx/>
            <a:buNone/>
          </a:pPr>
          <a:r>
            <a:rPr lang="en-US" altLang="zh-CN" sz="1600" i="1">
              <a:latin typeface="Arial" panose="020B0604020202020204" pitchFamily="34" charset="0"/>
              <a:ea typeface="ＭＳ Ｐゴシック" panose="020B0600070205080204" pitchFamily="34" charset="-128"/>
            </a:rPr>
            <a:t>Tiempo de escasez = S* / D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169333</xdr:colOff>
      <xdr:row>14</xdr:row>
      <xdr:rowOff>67733</xdr:rowOff>
    </xdr:from>
    <xdr:to>
      <xdr:col>3</xdr:col>
      <xdr:colOff>1232429</xdr:colOff>
      <xdr:row>20</xdr:row>
      <xdr:rowOff>85196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0B0A27-EEA8-C440-9691-CE5EF7032A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33" y="2493433"/>
          <a:ext cx="2570163" cy="10080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1624013</xdr:colOff>
      <xdr:row>15</xdr:row>
      <xdr:rowOff>16933</xdr:rowOff>
    </xdr:from>
    <xdr:to>
      <xdr:col>6</xdr:col>
      <xdr:colOff>21168</xdr:colOff>
      <xdr:row>20</xdr:row>
      <xdr:rowOff>128058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E209E-9072-4048-9099-A2EA31D6E9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6913" y="2607733"/>
          <a:ext cx="2054754" cy="936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372534</xdr:colOff>
      <xdr:row>16</xdr:row>
      <xdr:rowOff>160867</xdr:rowOff>
    </xdr:from>
    <xdr:to>
      <xdr:col>8</xdr:col>
      <xdr:colOff>135467</xdr:colOff>
      <xdr:row>18</xdr:row>
      <xdr:rowOff>150496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254920E7-67CB-9E4A-80A7-91F35F6DA2E2}"/>
            </a:ext>
          </a:extLst>
        </xdr:cNvPr>
        <xdr:cNvSpPr txBox="1">
          <a:spLocks noChangeArrowheads="1"/>
        </xdr:cNvSpPr>
      </xdr:nvSpPr>
      <xdr:spPr bwMode="auto">
        <a:xfrm>
          <a:off x="5643034" y="2916767"/>
          <a:ext cx="2937933" cy="319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s-ES"/>
          </a:defPPr>
          <a:lvl1pPr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Font typeface="Wingdings" pitchFamily="2" charset="2"/>
            <a:buChar char="§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Font typeface="Courier New" panose="02070309020205020404" pitchFamily="49" charset="0"/>
            <a:buChar char="o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•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–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20000"/>
            </a:spcBef>
            <a:spcAft>
              <a:spcPct val="0"/>
            </a:spcAft>
            <a:buClr>
              <a:srgbClr val="D1005D"/>
            </a:buClr>
            <a:buChar char="»"/>
            <a:defRPr sz="2600" kern="1200">
              <a:solidFill>
                <a:schemeClr val="tx1"/>
              </a:solidFill>
              <a:latin typeface="Corbel" panose="020B05030202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lvl9pPr>
        </a:lstStyle>
        <a:p>
          <a:pPr algn="ctr">
            <a:spcBef>
              <a:spcPct val="50000"/>
            </a:spcBef>
            <a:buClrTx/>
            <a:buFontTx/>
            <a:buNone/>
          </a:pPr>
          <a:r>
            <a:rPr lang="en-US" altLang="zh-CN" sz="1600" i="1">
              <a:latin typeface="Arial" panose="020B0604020202020204" pitchFamily="34" charset="0"/>
              <a:ea typeface="ＭＳ Ｐゴシック" panose="020B0600070205080204" pitchFamily="34" charset="-128"/>
            </a:rPr>
            <a:t>Tiempo de escasez = S* / D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14</xdr:row>
      <xdr:rowOff>69850</xdr:rowOff>
    </xdr:from>
    <xdr:to>
      <xdr:col>4</xdr:col>
      <xdr:colOff>42863</xdr:colOff>
      <xdr:row>20</xdr:row>
      <xdr:rowOff>87313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870F91-772E-604E-A89F-8576B3DD79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330450"/>
          <a:ext cx="2570163" cy="10080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544513</xdr:colOff>
      <xdr:row>14</xdr:row>
      <xdr:rowOff>69850</xdr:rowOff>
    </xdr:from>
    <xdr:to>
      <xdr:col>6</xdr:col>
      <xdr:colOff>1752600</xdr:colOff>
      <xdr:row>20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53364-BF2E-F242-BF96-97ADA4C7B9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3113" y="2330450"/>
          <a:ext cx="2058987" cy="936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bg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269D-2C4C-4A42-A102-4AA72CB80FE8}">
  <sheetPr>
    <pageSetUpPr fitToPage="1"/>
  </sheetPr>
  <dimension ref="A1:H19"/>
  <sheetViews>
    <sheetView tabSelected="1" zoomScale="200" workbookViewId="0">
      <selection activeCell="F12" sqref="F12"/>
    </sheetView>
  </sheetViews>
  <sheetFormatPr baseColWidth="10" defaultColWidth="10.7109375" defaultRowHeight="13"/>
  <cols>
    <col min="1" max="1" width="2.7109375" style="4" customWidth="1"/>
    <col min="2" max="2" width="4.140625" style="2" customWidth="1"/>
    <col min="3" max="3" width="10.7109375" style="3"/>
    <col min="4" max="4" width="18.28515625" style="4" customWidth="1"/>
    <col min="5" max="6" width="9.5703125" style="4" customWidth="1"/>
    <col min="7" max="7" width="20.85546875" style="2" customWidth="1"/>
    <col min="8" max="8" width="14.85546875" style="3" customWidth="1"/>
    <col min="9" max="16384" width="10.7109375" style="4"/>
  </cols>
  <sheetData>
    <row r="1" spans="1:8" ht="18">
      <c r="A1" s="1" t="s">
        <v>0</v>
      </c>
    </row>
    <row r="3" spans="1:8" ht="14" thickBot="1">
      <c r="C3" s="5" t="s">
        <v>1</v>
      </c>
      <c r="G3" s="6" t="s">
        <v>2</v>
      </c>
      <c r="H3" s="6"/>
    </row>
    <row r="4" spans="1:8">
      <c r="B4" s="7" t="s">
        <v>3</v>
      </c>
      <c r="C4" s="8">
        <v>145</v>
      </c>
      <c r="D4" s="9" t="s">
        <v>4</v>
      </c>
      <c r="G4" s="7" t="s">
        <v>5</v>
      </c>
      <c r="H4" s="61">
        <f>C10-C11</f>
        <v>13.962735519706637</v>
      </c>
    </row>
    <row r="5" spans="1:8">
      <c r="B5" s="11" t="s">
        <v>6</v>
      </c>
      <c r="C5" s="12">
        <v>8</v>
      </c>
      <c r="D5" s="13" t="s">
        <v>7</v>
      </c>
      <c r="G5" s="11"/>
      <c r="H5" s="14"/>
    </row>
    <row r="6" spans="1:8">
      <c r="B6" s="11" t="s">
        <v>8</v>
      </c>
      <c r="C6" s="15">
        <v>7</v>
      </c>
      <c r="D6" s="13" t="s">
        <v>9</v>
      </c>
      <c r="E6" s="38" t="s">
        <v>44</v>
      </c>
      <c r="G6" s="11" t="s">
        <v>10</v>
      </c>
      <c r="H6" s="16">
        <f>C5*C4/C10</f>
        <v>48.869574318973214</v>
      </c>
    </row>
    <row r="7" spans="1:8" ht="14" thickBot="1">
      <c r="B7" s="17" t="s">
        <v>11</v>
      </c>
      <c r="C7" s="18">
        <v>10</v>
      </c>
      <c r="D7" s="19" t="s">
        <v>12</v>
      </c>
      <c r="G7" s="11" t="s">
        <v>13</v>
      </c>
      <c r="H7" s="16">
        <f>C6*(H4^2)/(2*C10)</f>
        <v>28.746808422925433</v>
      </c>
    </row>
    <row r="8" spans="1:8">
      <c r="G8" s="20" t="s">
        <v>14</v>
      </c>
      <c r="H8" s="21">
        <f>C7*((C10-H4)^2)/(2*C10)</f>
        <v>20.122765896047795</v>
      </c>
    </row>
    <row r="9" spans="1:8" ht="14" thickBot="1">
      <c r="B9" s="4"/>
      <c r="C9" s="5" t="s">
        <v>15</v>
      </c>
      <c r="G9" s="17" t="s">
        <v>16</v>
      </c>
      <c r="H9" s="22">
        <f>SUM(H6:H8)</f>
        <v>97.739148637946442</v>
      </c>
    </row>
    <row r="10" spans="1:8">
      <c r="B10" s="7" t="s">
        <v>17</v>
      </c>
      <c r="C10" s="59">
        <f>SQRT(2*C4*C5/C6)*SQRT((C7+C6)/C7)</f>
        <v>23.736650383501281</v>
      </c>
      <c r="D10" s="9" t="s">
        <v>18</v>
      </c>
    </row>
    <row r="11" spans="1:8" ht="14" thickBot="1">
      <c r="B11" s="17" t="s">
        <v>19</v>
      </c>
      <c r="C11" s="60">
        <f>(C6/(C6+C7))*C10</f>
        <v>9.7739148637946442</v>
      </c>
      <c r="D11" s="19" t="s">
        <v>20</v>
      </c>
    </row>
    <row r="12" spans="1:8">
      <c r="B12" s="4"/>
      <c r="C12" s="4"/>
    </row>
    <row r="14" spans="1:8">
      <c r="C14" s="25"/>
    </row>
    <row r="15" spans="1:8">
      <c r="C15" s="5"/>
    </row>
    <row r="16" spans="1:8">
      <c r="C16" s="5"/>
    </row>
    <row r="17" spans="3:3">
      <c r="C17" s="5"/>
    </row>
    <row r="18" spans="3:3">
      <c r="C18" s="5"/>
    </row>
    <row r="19" spans="3:3">
      <c r="C19" s="5"/>
    </row>
  </sheetData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32A3-7EBB-6E45-A4EA-6A039D2EDFD5}">
  <dimension ref="A1:E24"/>
  <sheetViews>
    <sheetView zoomScale="159" workbookViewId="0">
      <selection activeCell="C12" sqref="C12"/>
    </sheetView>
  </sheetViews>
  <sheetFormatPr baseColWidth="10" defaultColWidth="7.5703125" defaultRowHeight="15"/>
  <cols>
    <col min="1" max="1" width="27.42578125" style="26" customWidth="1"/>
    <col min="2" max="2" width="13.7109375" style="26" customWidth="1"/>
    <col min="3" max="3" width="17.140625" style="26" customWidth="1"/>
    <col min="4" max="4" width="13.7109375" style="26" customWidth="1"/>
    <col min="5" max="5" width="17.140625" style="26" customWidth="1"/>
    <col min="6" max="16384" width="7.5703125" style="26"/>
  </cols>
  <sheetData>
    <row r="1" spans="1:5" ht="19">
      <c r="A1" s="57" t="s">
        <v>21</v>
      </c>
      <c r="B1" s="58"/>
      <c r="C1" s="58"/>
      <c r="D1" s="58"/>
      <c r="E1" s="58"/>
    </row>
    <row r="3" spans="1:5">
      <c r="A3" s="27" t="s">
        <v>22</v>
      </c>
    </row>
    <row r="4" spans="1:5">
      <c r="A4" s="28" t="s">
        <v>23</v>
      </c>
      <c r="B4" s="28">
        <v>4800</v>
      </c>
    </row>
    <row r="5" spans="1:5">
      <c r="A5" s="28" t="s">
        <v>24</v>
      </c>
      <c r="B5" s="28">
        <v>50</v>
      </c>
    </row>
    <row r="6" spans="1:5">
      <c r="A6" s="28" t="s">
        <v>25</v>
      </c>
      <c r="B6" s="28">
        <v>4</v>
      </c>
    </row>
    <row r="7" spans="1:5">
      <c r="A7" s="28" t="s">
        <v>26</v>
      </c>
      <c r="B7" s="28">
        <v>12</v>
      </c>
    </row>
    <row r="9" spans="1:5">
      <c r="A9" s="32" t="s">
        <v>27</v>
      </c>
      <c r="B9" s="30"/>
    </row>
    <row r="10" spans="1:5">
      <c r="A10" s="30" t="s">
        <v>28</v>
      </c>
      <c r="B10" s="31">
        <f>SQRT(2*B4*B5/B6)</f>
        <v>346.41016151377545</v>
      </c>
      <c r="D10" s="29" t="s">
        <v>29</v>
      </c>
    </row>
    <row r="11" spans="1:5">
      <c r="A11" s="30" t="s">
        <v>30</v>
      </c>
      <c r="B11" s="31">
        <f>B4/B10</f>
        <v>13.856406460551019</v>
      </c>
    </row>
    <row r="12" spans="1:5">
      <c r="A12" s="30" t="s">
        <v>31</v>
      </c>
      <c r="B12" s="31">
        <f>B4/B10*B5</f>
        <v>692.82032302755101</v>
      </c>
      <c r="D12" s="30" t="s">
        <v>32</v>
      </c>
      <c r="E12" s="30">
        <f>B14</f>
        <v>1385.640646055102</v>
      </c>
    </row>
    <row r="13" spans="1:5">
      <c r="A13" s="30" t="s">
        <v>33</v>
      </c>
      <c r="B13" s="31">
        <f>B6*B10/2</f>
        <v>692.8203230275509</v>
      </c>
      <c r="D13" s="30" t="s">
        <v>34</v>
      </c>
      <c r="E13" s="30">
        <f>B24</f>
        <v>1200</v>
      </c>
    </row>
    <row r="14" spans="1:5">
      <c r="A14" s="30" t="s">
        <v>35</v>
      </c>
      <c r="B14" s="31">
        <f>B12+B13</f>
        <v>1385.640646055102</v>
      </c>
    </row>
    <row r="15" spans="1:5">
      <c r="D15" s="30" t="s">
        <v>36</v>
      </c>
      <c r="E15" s="30" t="str">
        <f>IF(E13&lt;E12,"B: Con faltantes","A: Sin faltantes")</f>
        <v>B: Con faltantes</v>
      </c>
    </row>
    <row r="16" spans="1:5">
      <c r="A16" s="33" t="s">
        <v>37</v>
      </c>
    </row>
    <row r="17" spans="1:2">
      <c r="A17" s="30" t="s">
        <v>38</v>
      </c>
      <c r="B17" s="30">
        <f>SQRT(2*B4*B5/B6*((B6+B7)/B7))</f>
        <v>400</v>
      </c>
    </row>
    <row r="18" spans="1:2">
      <c r="A18" s="30" t="s">
        <v>39</v>
      </c>
      <c r="B18" s="30">
        <f>B17*B6/(B6+B7)</f>
        <v>100</v>
      </c>
    </row>
    <row r="19" spans="1:2">
      <c r="A19" s="30" t="s">
        <v>40</v>
      </c>
      <c r="B19" s="30">
        <f>B17-B18</f>
        <v>300</v>
      </c>
    </row>
    <row r="20" spans="1:2">
      <c r="A20" s="30" t="s">
        <v>30</v>
      </c>
      <c r="B20" s="30">
        <f>B4/B17</f>
        <v>12</v>
      </c>
    </row>
    <row r="21" spans="1:2">
      <c r="A21" s="30" t="s">
        <v>31</v>
      </c>
      <c r="B21" s="30">
        <f>B4/B17*B5</f>
        <v>600</v>
      </c>
    </row>
    <row r="22" spans="1:2">
      <c r="A22" s="30" t="s">
        <v>33</v>
      </c>
      <c r="B22" s="30">
        <f>B6*(B19^2)/(2*B17)</f>
        <v>450</v>
      </c>
    </row>
    <row r="23" spans="1:2">
      <c r="A23" s="30" t="s">
        <v>41</v>
      </c>
      <c r="B23" s="30">
        <f>B7*(B18^2)/(2*B17)</f>
        <v>150</v>
      </c>
    </row>
    <row r="24" spans="1:2">
      <c r="A24" s="30" t="s">
        <v>42</v>
      </c>
      <c r="B24" s="30">
        <f>B21+B22+B23</f>
        <v>1200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7A06-681D-EF4B-99C3-C5F77AEBAC8D}">
  <sheetPr>
    <pageSetUpPr fitToPage="1"/>
  </sheetPr>
  <dimension ref="A1:H30"/>
  <sheetViews>
    <sheetView zoomScale="150" workbookViewId="0">
      <selection activeCell="E31" sqref="E31"/>
    </sheetView>
  </sheetViews>
  <sheetFormatPr baseColWidth="10" defaultColWidth="10.7109375" defaultRowHeight="13"/>
  <cols>
    <col min="1" max="1" width="2.7109375" style="4" customWidth="1"/>
    <col min="2" max="2" width="4.140625" style="2" customWidth="1"/>
    <col min="3" max="3" width="11.28515625" style="3" bestFit="1" customWidth="1"/>
    <col min="4" max="4" width="18.28515625" style="4" customWidth="1"/>
    <col min="5" max="5" width="15.5703125" style="4" customWidth="1"/>
    <col min="6" max="6" width="7.28515625" style="4" customWidth="1"/>
    <col min="7" max="7" width="20.85546875" style="2" customWidth="1"/>
    <col min="8" max="8" width="14.85546875" style="3" customWidth="1"/>
    <col min="9" max="16384" width="10.7109375" style="4"/>
  </cols>
  <sheetData>
    <row r="1" spans="1:8" ht="18">
      <c r="A1" s="1" t="s">
        <v>0</v>
      </c>
    </row>
    <row r="3" spans="1:8" ht="14" thickBot="1">
      <c r="C3" s="5" t="s">
        <v>1</v>
      </c>
      <c r="G3" s="6" t="s">
        <v>2</v>
      </c>
      <c r="H3" s="6"/>
    </row>
    <row r="4" spans="1:8">
      <c r="B4" s="7" t="s">
        <v>3</v>
      </c>
      <c r="C4" s="8">
        <v>500</v>
      </c>
      <c r="D4" s="9" t="s">
        <v>4</v>
      </c>
      <c r="G4" s="7" t="s">
        <v>5</v>
      </c>
      <c r="H4" s="10">
        <f>C11-C12</f>
        <v>11.547005383792515</v>
      </c>
    </row>
    <row r="5" spans="1:8">
      <c r="B5" s="11" t="s">
        <v>6</v>
      </c>
      <c r="C5" s="12">
        <v>100000</v>
      </c>
      <c r="D5" s="13" t="s">
        <v>7</v>
      </c>
      <c r="G5" s="11"/>
      <c r="H5" s="14"/>
    </row>
    <row r="6" spans="1:8">
      <c r="B6" s="11" t="s">
        <v>8</v>
      </c>
      <c r="C6" s="37">
        <v>0.25</v>
      </c>
      <c r="D6" s="13" t="s">
        <v>9</v>
      </c>
      <c r="E6" s="39" t="s">
        <v>46</v>
      </c>
      <c r="G6" s="11" t="s">
        <v>10</v>
      </c>
      <c r="H6" s="16">
        <f>C5*C4/C11</f>
        <v>2886751.345948129</v>
      </c>
    </row>
    <row r="7" spans="1:8">
      <c r="B7" s="11" t="s">
        <v>11</v>
      </c>
      <c r="C7" s="15">
        <v>1000000</v>
      </c>
      <c r="D7" s="13" t="s">
        <v>12</v>
      </c>
      <c r="G7" s="11" t="s">
        <v>13</v>
      </c>
      <c r="H7" s="16">
        <f>C6*(H4^2)/(2*C11)</f>
        <v>0.96225044864937626</v>
      </c>
    </row>
    <row r="8" spans="1:8">
      <c r="B8" s="36" t="s">
        <v>43</v>
      </c>
      <c r="C8" s="15">
        <v>2000000</v>
      </c>
      <c r="D8" s="36" t="s">
        <v>45</v>
      </c>
      <c r="E8" s="34"/>
      <c r="G8" s="20" t="s">
        <v>14</v>
      </c>
      <c r="H8" s="21">
        <f>C7*((C11-H4)^2)/(2*C11)</f>
        <v>962250.44864937605</v>
      </c>
    </row>
    <row r="9" spans="1:8" ht="14" thickBot="1">
      <c r="B9" s="34"/>
      <c r="C9" s="34"/>
      <c r="D9" s="34"/>
      <c r="E9" s="34"/>
      <c r="G9" s="17" t="s">
        <v>16</v>
      </c>
      <c r="H9" s="22">
        <f>SUM(H6:H8)</f>
        <v>3849002.7568479539</v>
      </c>
    </row>
    <row r="10" spans="1:8" ht="14" thickBot="1">
      <c r="B10" s="4"/>
      <c r="C10" s="5" t="s">
        <v>15</v>
      </c>
    </row>
    <row r="11" spans="1:8">
      <c r="B11" s="7" t="s">
        <v>17</v>
      </c>
      <c r="C11" s="23">
        <f>SQRT((2*C4*C5)/(C6*C8))*SQRT((C7+(C6*C8))/C7)</f>
        <v>17.320508075688771</v>
      </c>
      <c r="D11" s="9" t="s">
        <v>18</v>
      </c>
    </row>
    <row r="12" spans="1:8" ht="14" thickBot="1">
      <c r="B12" s="17" t="s">
        <v>19</v>
      </c>
      <c r="C12" s="24">
        <f>((C6*C8)/((C6*C8)+C7))*C11</f>
        <v>5.7735026918962564</v>
      </c>
      <c r="D12" s="19" t="s">
        <v>20</v>
      </c>
    </row>
    <row r="13" spans="1:8">
      <c r="B13" s="4"/>
      <c r="C13" s="4"/>
    </row>
    <row r="15" spans="1:8">
      <c r="C15" s="25"/>
    </row>
    <row r="16" spans="1:8">
      <c r="C16" s="5"/>
    </row>
    <row r="17" spans="1:7">
      <c r="B17" s="34"/>
      <c r="C17" s="34"/>
      <c r="D17" s="34"/>
      <c r="E17" s="34"/>
    </row>
    <row r="18" spans="1:7">
      <c r="B18" s="34"/>
      <c r="C18" s="34"/>
      <c r="D18" s="34"/>
      <c r="E18" s="34"/>
    </row>
    <row r="19" spans="1:7">
      <c r="B19" s="34"/>
      <c r="C19" s="35"/>
      <c r="D19" s="34"/>
      <c r="E19" s="34"/>
    </row>
    <row r="20" spans="1:7">
      <c r="B20" s="34"/>
      <c r="C20" s="34"/>
      <c r="D20" s="34"/>
      <c r="E20" s="34"/>
    </row>
    <row r="21" spans="1:7">
      <c r="B21" s="34"/>
      <c r="C21" s="34"/>
      <c r="D21" s="34"/>
      <c r="E21" s="34"/>
    </row>
    <row r="22" spans="1:7">
      <c r="A22" s="47"/>
      <c r="B22" s="48" t="s">
        <v>52</v>
      </c>
      <c r="C22" s="49">
        <v>250</v>
      </c>
    </row>
    <row r="23" spans="1:7">
      <c r="A23" s="47"/>
      <c r="B23" s="48" t="s">
        <v>53</v>
      </c>
      <c r="C23" s="49">
        <v>45</v>
      </c>
    </row>
    <row r="24" spans="1:7">
      <c r="B24" s="41" t="s">
        <v>47</v>
      </c>
    </row>
    <row r="26" spans="1:7">
      <c r="B26" s="42"/>
      <c r="C26" s="42" t="s">
        <v>50</v>
      </c>
      <c r="D26" s="44" t="s">
        <v>49</v>
      </c>
      <c r="E26" s="45">
        <f>C12/C4</f>
        <v>1.1547005383792512E-2</v>
      </c>
      <c r="F26" s="43" t="s">
        <v>54</v>
      </c>
      <c r="G26" s="2" t="s">
        <v>51</v>
      </c>
    </row>
    <row r="27" spans="1:7">
      <c r="E27" s="46">
        <f>E26*C22</f>
        <v>2.8867513459481282</v>
      </c>
      <c r="F27" s="43" t="s">
        <v>51</v>
      </c>
    </row>
    <row r="29" spans="1:7">
      <c r="B29" s="41" t="s">
        <v>48</v>
      </c>
    </row>
    <row r="30" spans="1:7">
      <c r="D30" s="3"/>
    </row>
  </sheetData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34BF-80A1-2540-9701-64B6ED4E62A9}">
  <sheetPr>
    <pageSetUpPr fitToPage="1"/>
  </sheetPr>
  <dimension ref="A1:H24"/>
  <sheetViews>
    <sheetView zoomScale="150" workbookViewId="0">
      <selection activeCell="B22" sqref="B22:D22"/>
    </sheetView>
  </sheetViews>
  <sheetFormatPr baseColWidth="10" defaultColWidth="10.7109375" defaultRowHeight="13"/>
  <cols>
    <col min="1" max="1" width="2.7109375" style="4" customWidth="1"/>
    <col min="2" max="2" width="4.140625" style="2" customWidth="1"/>
    <col min="3" max="3" width="12.85546875" style="3" customWidth="1"/>
    <col min="4" max="4" width="18.28515625" style="4" customWidth="1"/>
    <col min="5" max="5" width="15.5703125" style="4" customWidth="1"/>
    <col min="6" max="6" width="7.28515625" style="4" customWidth="1"/>
    <col min="7" max="7" width="20.85546875" style="2" customWidth="1"/>
    <col min="8" max="8" width="14.85546875" style="3" customWidth="1"/>
    <col min="9" max="16384" width="10.7109375" style="4"/>
  </cols>
  <sheetData>
    <row r="1" spans="1:8" ht="18">
      <c r="A1" s="1" t="s">
        <v>0</v>
      </c>
    </row>
    <row r="3" spans="1:8" ht="14" thickBot="1">
      <c r="C3" s="5" t="s">
        <v>1</v>
      </c>
      <c r="G3" s="6" t="s">
        <v>2</v>
      </c>
      <c r="H3" s="6"/>
    </row>
    <row r="4" spans="1:8">
      <c r="B4" s="7" t="s">
        <v>3</v>
      </c>
      <c r="C4" s="8">
        <v>500</v>
      </c>
      <c r="D4" s="9" t="s">
        <v>4</v>
      </c>
      <c r="G4" s="7" t="s">
        <v>5</v>
      </c>
      <c r="H4" s="10">
        <f>C11-C12</f>
        <v>40.000000000000007</v>
      </c>
    </row>
    <row r="5" spans="1:8">
      <c r="B5" s="11" t="s">
        <v>6</v>
      </c>
      <c r="C5" s="12">
        <v>10000</v>
      </c>
      <c r="D5" s="13" t="s">
        <v>7</v>
      </c>
      <c r="G5" s="11"/>
      <c r="H5" s="14"/>
    </row>
    <row r="6" spans="1:8">
      <c r="B6" s="11" t="s">
        <v>8</v>
      </c>
      <c r="C6" s="37">
        <v>0.25</v>
      </c>
      <c r="D6" s="13" t="s">
        <v>9</v>
      </c>
      <c r="E6" s="39" t="s">
        <v>46</v>
      </c>
      <c r="G6" s="11" t="s">
        <v>10</v>
      </c>
      <c r="H6" s="16">
        <f>C5*C4/C11</f>
        <v>99999.999999999985</v>
      </c>
    </row>
    <row r="7" spans="1:8">
      <c r="B7" s="11" t="s">
        <v>11</v>
      </c>
      <c r="C7" s="15">
        <v>20000</v>
      </c>
      <c r="D7" s="13" t="s">
        <v>12</v>
      </c>
      <c r="G7" s="11" t="s">
        <v>13</v>
      </c>
      <c r="H7" s="16">
        <f>C6*(H4^2)/(2*C11)</f>
        <v>4.0000000000000009</v>
      </c>
    </row>
    <row r="8" spans="1:8">
      <c r="B8" s="36" t="s">
        <v>43</v>
      </c>
      <c r="C8" s="15">
        <v>20000</v>
      </c>
      <c r="D8" s="36" t="s">
        <v>45</v>
      </c>
      <c r="E8" s="34"/>
      <c r="G8" s="20" t="s">
        <v>14</v>
      </c>
      <c r="H8" s="21">
        <f>C7*((C11-H4)^2)/(2*C11)</f>
        <v>19999.999999999996</v>
      </c>
    </row>
    <row r="9" spans="1:8" ht="14" thickBot="1">
      <c r="B9" s="34"/>
      <c r="C9" s="34"/>
      <c r="D9" s="34"/>
      <c r="E9" s="34"/>
      <c r="G9" s="17" t="s">
        <v>16</v>
      </c>
      <c r="H9" s="22">
        <f>SUM(H6:H8)</f>
        <v>120003.99999999999</v>
      </c>
    </row>
    <row r="10" spans="1:8" ht="14" thickBot="1">
      <c r="B10" s="4"/>
      <c r="C10" s="5" t="s">
        <v>15</v>
      </c>
    </row>
    <row r="11" spans="1:8">
      <c r="B11" s="7" t="s">
        <v>17</v>
      </c>
      <c r="C11" s="23">
        <f>SQRT((2*C4*C5)/(C6*C8))*SQRT((C7+(C6*C8))/C7)</f>
        <v>50.000000000000007</v>
      </c>
      <c r="D11" s="9" t="s">
        <v>18</v>
      </c>
    </row>
    <row r="12" spans="1:8" ht="14" thickBot="1">
      <c r="B12" s="17" t="s">
        <v>19</v>
      </c>
      <c r="C12" s="24">
        <f>((C6*C8)/((C6*C8)+C7))*C11</f>
        <v>10.000000000000002</v>
      </c>
      <c r="D12" s="19" t="s">
        <v>20</v>
      </c>
    </row>
    <row r="13" spans="1:8">
      <c r="B13" s="4"/>
      <c r="C13" s="4"/>
    </row>
    <row r="15" spans="1:8">
      <c r="C15" s="25"/>
    </row>
    <row r="16" spans="1:8">
      <c r="C16" s="5"/>
    </row>
    <row r="17" spans="1:7">
      <c r="B17" s="34"/>
      <c r="C17" s="34"/>
      <c r="D17" s="34"/>
      <c r="E17" s="34"/>
    </row>
    <row r="18" spans="1:7">
      <c r="B18" s="34"/>
      <c r="C18" s="34"/>
      <c r="D18" s="34"/>
      <c r="E18" s="34"/>
    </row>
    <row r="19" spans="1:7">
      <c r="B19" s="34"/>
      <c r="C19" s="35"/>
      <c r="D19" s="34"/>
      <c r="E19" s="34"/>
    </row>
    <row r="20" spans="1:7" s="3" customFormat="1">
      <c r="A20" s="4"/>
      <c r="B20" s="34"/>
      <c r="C20" s="34"/>
      <c r="D20" s="34"/>
      <c r="E20" s="34"/>
      <c r="F20" s="4"/>
      <c r="G20" s="2"/>
    </row>
    <row r="21" spans="1:7" s="3" customFormat="1">
      <c r="A21" s="4"/>
      <c r="B21" s="34"/>
      <c r="C21" s="34"/>
      <c r="D21" s="34"/>
      <c r="E21" s="34"/>
      <c r="F21" s="4"/>
      <c r="G21" s="2"/>
    </row>
    <row r="22" spans="1:7" s="3" customFormat="1" ht="18">
      <c r="A22" s="4"/>
      <c r="B22" s="51" t="s">
        <v>55</v>
      </c>
      <c r="C22" s="34"/>
      <c r="D22" s="50">
        <f>C4/C11</f>
        <v>9.9999999999999982</v>
      </c>
      <c r="E22" s="34"/>
      <c r="F22" s="4"/>
      <c r="G22" s="2"/>
    </row>
    <row r="23" spans="1:7" s="3" customFormat="1">
      <c r="A23" s="4"/>
      <c r="B23" s="34"/>
      <c r="C23" s="34"/>
      <c r="D23" s="34"/>
      <c r="E23" s="34"/>
      <c r="F23" s="4"/>
      <c r="G23" s="2"/>
    </row>
    <row r="24" spans="1:7" s="3" customFormat="1">
      <c r="A24" s="4"/>
      <c r="B24" s="2"/>
      <c r="E24" s="4"/>
      <c r="F24" s="4"/>
      <c r="G24" s="2"/>
    </row>
  </sheetData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DA8F-ADDE-A84D-8B41-06A75F32E047}">
  <sheetPr>
    <pageSetUpPr fitToPage="1"/>
  </sheetPr>
  <dimension ref="A1:H25"/>
  <sheetViews>
    <sheetView zoomScale="200" workbookViewId="0">
      <selection activeCell="E27" sqref="E27"/>
    </sheetView>
  </sheetViews>
  <sheetFormatPr baseColWidth="10" defaultColWidth="10.7109375" defaultRowHeight="13"/>
  <cols>
    <col min="1" max="1" width="2.7109375" style="4" customWidth="1"/>
    <col min="2" max="2" width="11.5703125" style="2" customWidth="1"/>
    <col min="3" max="3" width="10.7109375" style="3"/>
    <col min="4" max="4" width="18.28515625" style="4" customWidth="1"/>
    <col min="5" max="6" width="9.5703125" style="4" customWidth="1"/>
    <col min="7" max="7" width="20.85546875" style="2" customWidth="1"/>
    <col min="8" max="8" width="14.85546875" style="3" customWidth="1"/>
    <col min="9" max="16384" width="10.7109375" style="4"/>
  </cols>
  <sheetData>
    <row r="1" spans="1:8" ht="18">
      <c r="A1" s="1" t="s">
        <v>0</v>
      </c>
    </row>
    <row r="3" spans="1:8" ht="14" thickBot="1">
      <c r="C3" s="5" t="s">
        <v>1</v>
      </c>
      <c r="G3" s="6" t="s">
        <v>2</v>
      </c>
      <c r="H3" s="6"/>
    </row>
    <row r="4" spans="1:8">
      <c r="B4" s="7" t="s">
        <v>3</v>
      </c>
      <c r="C4" s="8">
        <v>18000</v>
      </c>
      <c r="D4" s="9" t="s">
        <v>4</v>
      </c>
      <c r="G4" s="7" t="s">
        <v>5</v>
      </c>
      <c r="H4" s="10">
        <f>C11-C12</f>
        <v>3110.8550841912756</v>
      </c>
    </row>
    <row r="5" spans="1:8">
      <c r="B5" s="11" t="s">
        <v>6</v>
      </c>
      <c r="C5" s="12">
        <v>400</v>
      </c>
      <c r="D5" s="13" t="s">
        <v>7</v>
      </c>
      <c r="G5" s="11"/>
      <c r="H5" s="14"/>
    </row>
    <row r="6" spans="1:8">
      <c r="B6" s="11" t="s">
        <v>8</v>
      </c>
      <c r="C6" s="15">
        <v>1.2</v>
      </c>
      <c r="D6" s="13" t="s">
        <v>9</v>
      </c>
      <c r="E6" s="38" t="s">
        <v>44</v>
      </c>
      <c r="G6" s="11" t="s">
        <v>10</v>
      </c>
      <c r="H6" s="16">
        <f>C5*C4/C11</f>
        <v>1866.5130505147656</v>
      </c>
    </row>
    <row r="7" spans="1:8">
      <c r="B7" s="11" t="s">
        <v>11</v>
      </c>
      <c r="C7" s="15">
        <v>5</v>
      </c>
      <c r="D7" s="13" t="s">
        <v>12</v>
      </c>
      <c r="G7" s="11" t="s">
        <v>13</v>
      </c>
      <c r="H7" s="16">
        <f>C6*(H4^2)/(2*C11)</f>
        <v>1505.2524600925526</v>
      </c>
    </row>
    <row r="8" spans="1:8">
      <c r="B8" s="53" t="s">
        <v>56</v>
      </c>
      <c r="C8" s="52">
        <v>1</v>
      </c>
      <c r="D8" s="36" t="s">
        <v>45</v>
      </c>
      <c r="G8" s="20" t="s">
        <v>14</v>
      </c>
      <c r="H8" s="21">
        <f>C7*((C11-H4)^2)/(2*C11)</f>
        <v>361.26059042221283</v>
      </c>
    </row>
    <row r="9" spans="1:8">
      <c r="G9" s="11"/>
      <c r="H9" s="16"/>
    </row>
    <row r="10" spans="1:8" ht="14" thickBot="1">
      <c r="B10" s="4"/>
      <c r="C10" s="5" t="s">
        <v>15</v>
      </c>
      <c r="G10" s="17" t="s">
        <v>16</v>
      </c>
      <c r="H10" s="22">
        <f>SUM(H6:H8)</f>
        <v>3733.0261010295308</v>
      </c>
    </row>
    <row r="11" spans="1:8">
      <c r="B11" s="7" t="s">
        <v>17</v>
      </c>
      <c r="C11" s="23">
        <f>SQRT(2*C4*C5/C6)*SQRT((C7+C6)/C7)</f>
        <v>3857.460304397182</v>
      </c>
      <c r="D11" s="9" t="s">
        <v>18</v>
      </c>
    </row>
    <row r="12" spans="1:8" ht="14" thickBot="1">
      <c r="B12" s="17" t="s">
        <v>19</v>
      </c>
      <c r="C12" s="24">
        <f>(C6/(C6+C7))*C11</f>
        <v>746.60522020590622</v>
      </c>
      <c r="D12" s="19" t="s">
        <v>20</v>
      </c>
    </row>
    <row r="13" spans="1:8">
      <c r="B13" s="4"/>
      <c r="C13" s="4"/>
    </row>
    <row r="15" spans="1:8">
      <c r="C15" s="25"/>
    </row>
    <row r="16" spans="1:8">
      <c r="C16" s="5"/>
    </row>
    <row r="17" spans="2:5">
      <c r="C17" s="5"/>
    </row>
    <row r="18" spans="2:5">
      <c r="C18" s="5"/>
    </row>
    <row r="19" spans="2:5">
      <c r="C19" s="5"/>
    </row>
    <row r="20" spans="2:5">
      <c r="C20" s="5"/>
    </row>
    <row r="23" spans="2:5" ht="18">
      <c r="B23" s="51" t="s">
        <v>55</v>
      </c>
      <c r="C23" s="34"/>
      <c r="D23" s="54">
        <f>C4/C11</f>
        <v>4.6662826262869137</v>
      </c>
    </row>
    <row r="25" spans="2:5" ht="28">
      <c r="B25" s="40" t="s">
        <v>57</v>
      </c>
      <c r="C25" s="55">
        <f>1/D23</f>
        <v>0.2143033502442879</v>
      </c>
      <c r="D25" s="56">
        <f>C25*365</f>
        <v>78.220722839165077</v>
      </c>
      <c r="E25" s="4" t="s">
        <v>51</v>
      </c>
    </row>
  </sheetData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ESCASEZ</vt:lpstr>
      <vt:lpstr>Comparador</vt:lpstr>
      <vt:lpstr>EJERCICIO ESCASEZ MAQ.AGRÍCOLA</vt:lpstr>
      <vt:lpstr>EJERCICIO ESCASEZ FORD</vt:lpstr>
      <vt:lpstr>EJERCICIO Artículo Básic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Llanos Cuenca</dc:creator>
  <cp:lastModifiedBy>Llanos Cuenca</cp:lastModifiedBy>
  <dcterms:created xsi:type="dcterms:W3CDTF">2025-09-26T09:03:47Z</dcterms:created>
  <dcterms:modified xsi:type="dcterms:W3CDTF">2025-09-26T14:16:27Z</dcterms:modified>
</cp:coreProperties>
</file>