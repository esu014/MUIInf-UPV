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96475765641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ta" sheetId="1" r:id="R26e07fa33e4c4e90"/>
    <x:sheet xmlns:r="http://schemas.openxmlformats.org/officeDocument/2006/relationships" name="Distancias" sheetId="2" r:id="Rf2677ba9550547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DED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8eb3b08f6c4e6a" /><Relationship Type="http://schemas.openxmlformats.org/officeDocument/2006/relationships/theme" Target="/xl/theme/theme1.xml" Id="Rf13b7d561c504d15" /><Relationship Type="http://schemas.openxmlformats.org/officeDocument/2006/relationships/sharedStrings" Target="/xl/sharedStrings.xml" Id="Ra6de4607abe74f24" /><Relationship Type="http://schemas.openxmlformats.org/officeDocument/2006/relationships/worksheet" Target="/xl/worksheets/sheet1.xml" Id="R26e07fa33e4c4e90" /><Relationship Type="http://schemas.openxmlformats.org/officeDocument/2006/relationships/worksheet" Target="/xl/worksheets/sheet2.xml" Id="Rf2677ba9550547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2" hidden="0" customWidth="1"/>
    <x:col min="2" max="2" width="12" hidden="0" customWidth="1"/>
    <x:col min="3" max="3" width="19" hidden="0" customWidth="1"/>
    <x:col min="4" max="4" width="12" hidden="0" customWidth="1"/>
    <x:col min="5" max="5" width="19" hidden="0" customWidth="1"/>
    <x:col min="6" max="6" width="12" hidden="0" customWidth="1"/>
    <x:col min="7" max="7" width="12" hidden="0" customWidth="1"/>
  </x:cols>
  <x:sheetData>
    <x:row r="1" ht="21" customHeight="1">
      <x:c r="A1" s="2" t="str">
        <x:v>TSP: solución óptima</x:v>
      </x:c>
      <x:c r="B1" s="1"/>
      <x:c r="C1" s="1"/>
      <x:c r="D1" s="1"/>
      <x:c r="E1" s="1"/>
      <x:c r="F1" s="1"/>
      <x:c r="G1" s="1"/>
    </x:row>
    <x:row r="2" ht="21" customHeight="1">
      <x:c r="A2" s="1"/>
      <x:c r="B2" s="1"/>
      <x:c r="C2" s="1"/>
      <x:c r="D2" s="1"/>
      <x:c r="E2" s="1"/>
      <x:c r="F2" s="1"/>
      <x:c r="G2" s="1"/>
    </x:row>
    <x:row r="3" ht="32" customHeight="1">
      <x:c r="A3" s="4" t="str">
        <x:v>Paso</x:v>
      </x:c>
      <x:c r="B3" s="4" t="str">
        <x:v>ID ciudad</x:v>
      </x:c>
      <x:c r="C3" s="4" t="str">
        <x:v>Ciudad</x:v>
      </x:c>
      <x:c r="D3" s="4" t="str">
        <x:v>ID destino</x:v>
      </x:c>
      <x:c r="E3" s="4" t="str">
        <x:v>Destino</x:v>
      </x:c>
      <x:c r="F3" s="4" t="str">
        <x:v>Tramo (km)</x:v>
      </x:c>
      <x:c r="G3" s="4" t="str">
        <x:v>Acumulado (km)</x:v>
      </x:c>
    </x:row>
    <x:row r="4" ht="21" customHeight="1">
      <x:c r="A4" s="1" t="n">
        <x:v>1</x:v>
      </x:c>
      <x:c r="B4" s="1" t="n">
        <x:v>1</x:v>
      </x:c>
      <x:c r="C4" s="1" t="str">
        <x:f>INDEX(Distancias!$A$4:$A$23,B4)</x:f>
        <x:v>A Coruña</x:v>
      </x:c>
      <x:c r="D4" s="1" t="n">
        <x:f>B5</x:f>
        <x:v>19</x:v>
      </x:c>
      <x:c r="E4" s="1" t="str">
        <x:f>INDEX(Distancias!$A$4:$A$23,D4)</x:f>
        <x:v>Vigo</x:v>
      </x:c>
      <x:c r="F4" s="1" t="n">
        <x:f>INDEX(Distancias!$B$4:$U$23,B4,D4)</x:f>
        <x:v>141</x:v>
      </x:c>
      <x:c r="G4" s="1" t="n">
        <x:f>SUM($F$4:F4)</x:f>
        <x:v>141</x:v>
      </x:c>
    </x:row>
    <x:row r="5" ht="21" customHeight="1">
      <x:c r="A5" s="1" t="n">
        <x:v>2</x:v>
      </x:c>
      <x:c r="B5" s="1" t="n">
        <x:v>19</x:v>
      </x:c>
      <x:c r="C5" s="1" t="str">
        <x:f>INDEX(Distancias!$A$4:$A$23,B5)</x:f>
        <x:v>Vigo</x:v>
      </x:c>
      <x:c r="D5" s="1" t="n">
        <x:f>B6</x:f>
        <x:v>13</x:v>
      </x:c>
      <x:c r="E5" s="1" t="str">
        <x:f>INDEX(Distancias!$A$4:$A$23,D5)</x:f>
        <x:v>Ourense</x:v>
      </x:c>
      <x:c r="F5" s="1" t="n">
        <x:f>INDEX(Distancias!$B$4:$U$23,B5,D5)</x:f>
        <x:v>87</x:v>
      </x:c>
      <x:c r="G5" s="1" t="n">
        <x:f>SUM($F$4:F5)</x:f>
        <x:v>228</x:v>
      </x:c>
    </x:row>
    <x:row r="6" ht="21" customHeight="1">
      <x:c r="A6" s="1" t="n">
        <x:v>3</x:v>
      </x:c>
      <x:c r="B6" s="1" t="n">
        <x:v>13</x:v>
      </x:c>
      <x:c r="C6" s="1" t="str">
        <x:f>INDEX(Distancias!$A$4:$A$23,B6)</x:f>
        <x:v>Ourense</x:v>
      </x:c>
      <x:c r="D6" s="1" t="n">
        <x:f>B7</x:f>
        <x:v>15</x:v>
      </x:c>
      <x:c r="E6" s="1" t="str">
        <x:f>INDEX(Distancias!$A$4:$A$23,D6)</x:f>
        <x:v>Salamanca</x:v>
      </x:c>
      <x:c r="F6" s="1" t="n">
        <x:f>INDEX(Distancias!$B$4:$U$23,B6,D6)</x:f>
        <x:v>305</x:v>
      </x:c>
      <x:c r="G6" s="1" t="n">
        <x:f>SUM($F$4:F6)</x:f>
        <x:v>533</x:v>
      </x:c>
    </x:row>
    <x:row r="7" ht="21" customHeight="1">
      <x:c r="A7" s="1" t="n">
        <x:v>4</x:v>
      </x:c>
      <x:c r="B7" s="1" t="n">
        <x:v>15</x:v>
      </x:c>
      <x:c r="C7" s="1" t="str">
        <x:f>INDEX(Distancias!$A$4:$A$23,B7)</x:f>
        <x:v>Salamanca</x:v>
      </x:c>
      <x:c r="D7" s="1" t="n">
        <x:f>B8</x:f>
        <x:v>4</x:v>
      </x:c>
      <x:c r="E7" s="1" t="str">
        <x:f>INDEX(Distancias!$A$4:$A$23,D7)</x:f>
        <x:v>Badajoz</x:v>
      </x:c>
      <x:c r="F7" s="1" t="n">
        <x:f>INDEX(Distancias!$B$4:$U$23,B7,D7)</x:f>
        <x:v>295</x:v>
      </x:c>
      <x:c r="G7" s="1" t="n">
        <x:f>SUM($F$4:F7)</x:f>
        <x:v>828</x:v>
      </x:c>
    </x:row>
    <x:row r="8" ht="21" customHeight="1">
      <x:c r="A8" s="1" t="n">
        <x:v>5</x:v>
      </x:c>
      <x:c r="B8" s="1" t="n">
        <x:v>4</x:v>
      </x:c>
      <x:c r="C8" s="1" t="str">
        <x:f>INDEX(Distancias!$A$4:$A$23,B8)</x:f>
        <x:v>Badajoz</x:v>
      </x:c>
      <x:c r="D8" s="1" t="n">
        <x:f>B9</x:f>
        <x:v>17</x:v>
      </x:c>
      <x:c r="E8" s="1" t="str">
        <x:f>INDEX(Distancias!$A$4:$A$23,D8)</x:f>
        <x:v>Sevilla</x:v>
      </x:c>
      <x:c r="F8" s="1" t="n">
        <x:f>INDEX(Distancias!$B$4:$U$23,B8,D8)</x:f>
        <x:v>207</x:v>
      </x:c>
      <x:c r="G8" s="1" t="n">
        <x:f>SUM($F$4:F8)</x:f>
        <x:v>1035</x:v>
      </x:c>
    </x:row>
    <x:row r="9" ht="21" customHeight="1">
      <x:c r="A9" s="1" t="n">
        <x:v>6</x:v>
      </x:c>
      <x:c r="B9" s="1" t="n">
        <x:v>17</x:v>
      </x:c>
      <x:c r="C9" s="1" t="str">
        <x:f>INDEX(Distancias!$A$4:$A$23,B9)</x:f>
        <x:v>Sevilla</x:v>
      </x:c>
      <x:c r="D9" s="1" t="n">
        <x:f>B10</x:f>
        <x:v>12</x:v>
      </x:c>
      <x:c r="E9" s="1" t="str">
        <x:f>INDEX(Distancias!$A$4:$A$23,D9)</x:f>
        <x:v>Málaga</x:v>
      </x:c>
      <x:c r="F9" s="1" t="n">
        <x:f>INDEX(Distancias!$B$4:$U$23,B9,D9)</x:f>
        <x:v>191</x:v>
      </x:c>
      <x:c r="G9" s="1" t="n">
        <x:f>SUM($F$4:F9)</x:f>
        <x:v>1226</x:v>
      </x:c>
    </x:row>
    <x:row r="10" ht="21" customHeight="1">
      <x:c r="A10" s="1" t="n">
        <x:v>7</x:v>
      </x:c>
      <x:c r="B10" s="1" t="n">
        <x:v>12</x:v>
      </x:c>
      <x:c r="C10" s="1" t="str">
        <x:f>INDEX(Distancias!$A$4:$A$23,B10)</x:f>
        <x:v>Málaga</x:v>
      </x:c>
      <x:c r="D10" s="1" t="n">
        <x:f>B11</x:f>
        <x:v>8</x:v>
      </x:c>
      <x:c r="E10" s="1" t="str">
        <x:f>INDEX(Distancias!$A$4:$A$23,D10)</x:f>
        <x:v>Córdoba</x:v>
      </x:c>
      <x:c r="F10" s="1" t="n">
        <x:f>INDEX(Distancias!$B$4:$U$23,B10,D10)</x:f>
        <x:v>155</x:v>
      </x:c>
      <x:c r="G10" s="1" t="n">
        <x:f>SUM($F$4:F10)</x:f>
        <x:v>1381</x:v>
      </x:c>
    </x:row>
    <x:row r="11" ht="21" customHeight="1">
      <x:c r="A11" s="1" t="n">
        <x:v>8</x:v>
      </x:c>
      <x:c r="B11" s="1" t="n">
        <x:v>8</x:v>
      </x:c>
      <x:c r="C11" s="1" t="str">
        <x:f>INDEX(Distancias!$A$4:$A$23,B11)</x:f>
        <x:v>Córdoba</x:v>
      </x:c>
      <x:c r="D11" s="1" t="n">
        <x:f>B12</x:f>
        <x:v>11</x:v>
      </x:c>
      <x:c r="E11" s="1" t="str">
        <x:f>INDEX(Distancias!$A$4:$A$23,D11)</x:f>
        <x:v>Madrid</x:v>
      </x:c>
      <x:c r="F11" s="1" t="n">
        <x:f>INDEX(Distancias!$B$4:$U$23,B11,D11)</x:f>
        <x:v>358</x:v>
      </x:c>
      <x:c r="G11" s="1" t="n">
        <x:f>SUM($F$4:F11)</x:f>
        <x:v>1739</x:v>
      </x:c>
    </x:row>
    <x:row r="12" ht="21" customHeight="1">
      <x:c r="A12" s="1" t="n">
        <x:v>9</x:v>
      </x:c>
      <x:c r="B12" s="1" t="n">
        <x:v>11</x:v>
      </x:c>
      <x:c r="C12" s="1" t="str">
        <x:f>INDEX(Distancias!$A$4:$A$23,B12)</x:f>
        <x:v>Madrid</x:v>
      </x:c>
      <x:c r="D12" s="1" t="n">
        <x:f>B13</x:f>
        <x:v>2</x:v>
      </x:c>
      <x:c r="E12" s="1" t="str">
        <x:f>INDEX(Distancias!$A$4:$A$23,D12)</x:f>
        <x:v>Albacete</x:v>
      </x:c>
      <x:c r="F12" s="1" t="n">
        <x:f>INDEX(Distancias!$B$4:$U$23,B12,D12)</x:f>
        <x:v>240</x:v>
      </x:c>
      <x:c r="G12" s="1" t="n">
        <x:f>SUM($F$4:F12)</x:f>
        <x:v>1979</x:v>
      </x:c>
    </x:row>
    <x:row r="13" ht="21" customHeight="1">
      <x:c r="A13" s="1" t="n">
        <x:v>10</x:v>
      </x:c>
      <x:c r="B13" s="1" t="n">
        <x:v>2</x:v>
      </x:c>
      <x:c r="C13" s="1" t="str">
        <x:f>INDEX(Distancias!$A$4:$A$23,B13)</x:f>
        <x:v>Albacete</x:v>
      </x:c>
      <x:c r="D13" s="1" t="n">
        <x:f>B14</x:f>
        <x:v>3</x:v>
      </x:c>
      <x:c r="E13" s="1" t="str">
        <x:f>INDEX(Distancias!$A$4:$A$23,D13)</x:f>
        <x:v>Alicante</x:v>
      </x:c>
      <x:c r="F13" s="1" t="n">
        <x:f>INDEX(Distancias!$B$4:$U$23,B13,D13)</x:f>
        <x:v>163</x:v>
      </x:c>
      <x:c r="G13" s="1" t="n">
        <x:f>SUM($F$4:F13)</x:f>
        <x:v>2142</x:v>
      </x:c>
    </x:row>
    <x:row r="14" ht="21" customHeight="1">
      <x:c r="A14" s="1" t="n">
        <x:v>11</x:v>
      </x:c>
      <x:c r="B14" s="1" t="n">
        <x:v>3</x:v>
      </x:c>
      <x:c r="C14" s="1" t="str">
        <x:f>INDEX(Distancias!$A$4:$A$23,B14)</x:f>
        <x:v>Alicante</x:v>
      </x:c>
      <x:c r="D14" s="1" t="n">
        <x:f>B15</x:f>
        <x:v>18</x:v>
      </x:c>
      <x:c r="E14" s="1" t="str">
        <x:f>INDEX(Distancias!$A$4:$A$23,D14)</x:f>
        <x:v>Valencia</x:v>
      </x:c>
      <x:c r="F14" s="1" t="n">
        <x:f>INDEX(Distancias!$B$4:$U$23,B14,D14)</x:f>
        <x:v>158</x:v>
      </x:c>
      <x:c r="G14" s="1" t="n">
        <x:f>SUM($F$4:F14)</x:f>
        <x:v>2300</x:v>
      </x:c>
    </x:row>
    <x:row r="15" ht="21" customHeight="1">
      <x:c r="A15" s="1" t="n">
        <x:v>12</x:v>
      </x:c>
      <x:c r="B15" s="1" t="n">
        <x:v>18</x:v>
      </x:c>
      <x:c r="C15" s="1" t="str">
        <x:f>INDEX(Distancias!$A$4:$A$23,B15)</x:f>
        <x:v>Valencia</x:v>
      </x:c>
      <x:c r="D15" s="1" t="n">
        <x:f>B16</x:f>
        <x:v>7</x:v>
      </x:c>
      <x:c r="E15" s="1" t="str">
        <x:f>INDEX(Distancias!$A$4:$A$23,D15)</x:f>
        <x:v>Castellón</x:v>
      </x:c>
      <x:c r="F15" s="1" t="n">
        <x:f>INDEX(Distancias!$B$4:$U$23,B15,D15)</x:f>
        <x:v>67</x:v>
      </x:c>
      <x:c r="G15" s="1" t="n">
        <x:f>SUM($F$4:F15)</x:f>
        <x:v>2367</x:v>
      </x:c>
    </x:row>
    <x:row r="16" ht="21" customHeight="1">
      <x:c r="A16" s="1" t="n">
        <x:v>13</x:v>
      </x:c>
      <x:c r="B16" s="1" t="n">
        <x:v>7</x:v>
      </x:c>
      <x:c r="C16" s="1" t="str">
        <x:f>INDEX(Distancias!$A$4:$A$23,B16)</x:f>
        <x:v>Castellón</x:v>
      </x:c>
      <x:c r="D16" s="1" t="n">
        <x:f>B17</x:f>
        <x:v>5</x:v>
      </x:c>
      <x:c r="E16" s="1" t="str">
        <x:f>INDEX(Distancias!$A$4:$A$23,D16)</x:f>
        <x:v>Barcelona</x:v>
      </x:c>
      <x:c r="F16" s="1" t="n">
        <x:f>INDEX(Distancias!$B$4:$U$23,B16,D16)</x:f>
        <x:v>269</x:v>
      </x:c>
      <x:c r="G16" s="1" t="n">
        <x:f>SUM($F$4:F16)</x:f>
        <x:v>2636</x:v>
      </x:c>
    </x:row>
    <x:row r="17" ht="21" customHeight="1">
      <x:c r="A17" s="1" t="n">
        <x:v>14</x:v>
      </x:c>
      <x:c r="B17" s="1" t="n">
        <x:v>5</x:v>
      </x:c>
      <x:c r="C17" s="1" t="str">
        <x:f>INDEX(Distancias!$A$4:$A$23,B17)</x:f>
        <x:v>Barcelona</x:v>
      </x:c>
      <x:c r="D17" s="1" t="n">
        <x:f>B18</x:f>
        <x:v>10</x:v>
      </x:c>
      <x:c r="E17" s="1" t="str">
        <x:f>INDEX(Distancias!$A$4:$A$23,D17)</x:f>
        <x:v>Lleida</x:v>
      </x:c>
      <x:c r="F17" s="1" t="n">
        <x:f>INDEX(Distancias!$B$4:$U$23,B17,D17)</x:f>
        <x:v>155</x:v>
      </x:c>
      <x:c r="G17" s="1" t="n">
        <x:f>SUM($F$4:F17)</x:f>
        <x:v>2791</x:v>
      </x:c>
    </x:row>
    <x:row r="18" ht="21" customHeight="1">
      <x:c r="A18" s="1" t="n">
        <x:v>15</x:v>
      </x:c>
      <x:c r="B18" s="1" t="n">
        <x:v>10</x:v>
      </x:c>
      <x:c r="C18" s="1" t="str">
        <x:f>INDEX(Distancias!$A$4:$A$23,B18)</x:f>
        <x:v>Lleida</x:v>
      </x:c>
      <x:c r="D18" s="1" t="n">
        <x:f>B19</x:f>
        <x:v>20</x:v>
      </x:c>
      <x:c r="E18" s="1" t="str">
        <x:f>INDEX(Distancias!$A$4:$A$23,D18)</x:f>
        <x:v>Zaragoza</x:v>
      </x:c>
      <x:c r="F18" s="1" t="n">
        <x:f>INDEX(Distancias!$B$4:$U$23,B18,D18)</x:f>
        <x:v>142</x:v>
      </x:c>
      <x:c r="G18" s="1" t="n">
        <x:f>SUM($F$4:F18)</x:f>
        <x:v>2933</x:v>
      </x:c>
    </x:row>
    <x:row r="19" ht="21" customHeight="1">
      <x:c r="A19" s="1" t="n">
        <x:v>16</x:v>
      </x:c>
      <x:c r="B19" s="1" t="n">
        <x:v>20</x:v>
      </x:c>
      <x:c r="C19" s="1" t="str">
        <x:f>INDEX(Distancias!$A$4:$A$23,B19)</x:f>
        <x:v>Zaragoza</x:v>
      </x:c>
      <x:c r="D19" s="1" t="n">
        <x:f>B20</x:f>
        <x:v>14</x:v>
      </x:c>
      <x:c r="E19" s="1" t="str">
        <x:f>INDEX(Distancias!$A$4:$A$23,D19)</x:f>
        <x:v>Pamplona</x:v>
      </x:c>
      <x:c r="F19" s="1" t="n">
        <x:f>INDEX(Distancias!$B$4:$U$23,B19,D19)</x:f>
        <x:v>171</x:v>
      </x:c>
      <x:c r="G19" s="1" t="n">
        <x:f>SUM($F$4:F19)</x:f>
        <x:v>3104</x:v>
      </x:c>
    </x:row>
    <x:row r="20" ht="21" customHeight="1">
      <x:c r="A20" s="1" t="n">
        <x:v>17</x:v>
      </x:c>
      <x:c r="B20" s="1" t="n">
        <x:v>14</x:v>
      </x:c>
      <x:c r="C20" s="1" t="str">
        <x:f>INDEX(Distancias!$A$4:$A$23,B20)</x:f>
        <x:v>Pamplona</x:v>
      </x:c>
      <x:c r="D20" s="1" t="n">
        <x:f>B21</x:f>
        <x:v>16</x:v>
      </x:c>
      <x:c r="E20" s="1" t="str">
        <x:f>INDEX(Distancias!$A$4:$A$23,D20)</x:f>
        <x:v>Santander</x:v>
      </x:c>
      <x:c r="F20" s="1" t="n">
        <x:f>INDEX(Distancias!$B$4:$U$23,B20,D20)</x:f>
        <x:v>229</x:v>
      </x:c>
      <x:c r="G20" s="1" t="n">
        <x:f>SUM($F$4:F20)</x:f>
        <x:v>3333</x:v>
      </x:c>
    </x:row>
    <x:row r="21" ht="21" customHeight="1">
      <x:c r="A21" s="1" t="n">
        <x:v>18</x:v>
      </x:c>
      <x:c r="B21" s="1" t="n">
        <x:v>16</x:v>
      </x:c>
      <x:c r="C21" s="1" t="str">
        <x:f>INDEX(Distancias!$A$4:$A$23,B21)</x:f>
        <x:v>Santander</x:v>
      </x:c>
      <x:c r="D21" s="1" t="n">
        <x:f>B22</x:f>
        <x:v>6</x:v>
      </x:c>
      <x:c r="E21" s="1" t="str">
        <x:f>INDEX(Distancias!$A$4:$A$23,D21)</x:f>
        <x:v>Burgos</x:v>
      </x:c>
      <x:c r="F21" s="1" t="n">
        <x:f>INDEX(Distancias!$B$4:$U$23,B21,D21)</x:f>
        <x:v>147</x:v>
      </x:c>
      <x:c r="G21" s="1" t="n">
        <x:f>SUM($F$4:F21)</x:f>
        <x:v>3480</x:v>
      </x:c>
    </x:row>
    <x:row r="22" ht="21" customHeight="1">
      <x:c r="A22" s="1" t="n">
        <x:v>19</x:v>
      </x:c>
      <x:c r="B22" s="1" t="n">
        <x:v>6</x:v>
      </x:c>
      <x:c r="C22" s="1" t="str">
        <x:f>INDEX(Distancias!$A$4:$A$23,B22)</x:f>
        <x:v>Burgos</x:v>
      </x:c>
      <x:c r="D22" s="1" t="n">
        <x:f>B23</x:f>
        <x:v>9</x:v>
      </x:c>
      <x:c r="E22" s="1" t="str">
        <x:f>INDEX(Distancias!$A$4:$A$23,D22)</x:f>
        <x:v>León</x:v>
      </x:c>
      <x:c r="F22" s="1" t="n">
        <x:f>INDEX(Distancias!$B$4:$U$23,B22,D22)</x:f>
        <x:v>180</x:v>
      </x:c>
      <x:c r="G22" s="1" t="n">
        <x:f>SUM($F$4:F22)</x:f>
        <x:v>3660</x:v>
      </x:c>
    </x:row>
    <x:row r="23" ht="21" customHeight="1">
      <x:c r="A23" s="1" t="n">
        <x:v>20</x:v>
      </x:c>
      <x:c r="B23" s="1" t="n">
        <x:v>9</x:v>
      </x:c>
      <x:c r="C23" s="1" t="str">
        <x:f>INDEX(Distancias!$A$4:$A$23,B23)</x:f>
        <x:v>León</x:v>
      </x:c>
      <x:c r="D23" s="1" t="n">
        <x:f>B4</x:f>
        <x:v>1</x:v>
      </x:c>
      <x:c r="E23" s="1" t="str">
        <x:f>INDEX(Distancias!$A$4:$A$23,D23)</x:f>
        <x:v>A Coruña</x:v>
      </x:c>
      <x:c r="F23" s="1" t="n">
        <x:f>INDEX(Distancias!$B$4:$U$23,B23,D23)</x:f>
        <x:v>286</x:v>
      </x:c>
      <x:c r="G23" s="1" t="n">
        <x:f>SUM($F$4:F23)</x:f>
        <x:v>3946</x:v>
      </x:c>
    </x:row>
    <x:row r="24" ht="21" customHeight="1">
      <x:c r="A24" s="1"/>
      <x:c r="B24" s="1"/>
      <x:c r="C24" s="1"/>
      <x:c r="D24" s="1"/>
      <x:c r="E24" s="1"/>
      <x:c r="F24" s="1"/>
      <x:c r="G24" s="1"/>
    </x:row>
    <x:row r="25" ht="21" customHeight="1">
      <x:c r="A25" s="1" t="str">
        <x:v>Repeticiones</x:v>
      </x:c>
      <x:c r="B25" s="1"/>
      <x:c r="C25" s="1" t="n">
        <x:f>COUNTIF(AC26:AC45,"&lt;&gt;1")</x:f>
        <x:v>0</x:v>
      </x:c>
      <x:c r="D25" s="1"/>
      <x:c r="E25" s="1"/>
      <x:c r="F25" s="1"/>
      <x:c r="G25" s="1"/>
      <x:c r="AB25" t="str">
        <x:v>ID</x:v>
      </x:c>
      <x:c r="AC25" t="str">
        <x:v>Veces</x:v>
      </x:c>
    </x:row>
    <x:row r="26" ht="21" customHeight="1">
      <x:c r="A26" s="1"/>
      <x:c r="B26" s="1"/>
      <x:c r="C26" s="1"/>
      <x:c r="D26" s="1"/>
      <x:c r="E26" s="1"/>
      <x:c r="F26" s="1"/>
      <x:c r="G26" s="1"/>
      <x:c r="AB26" t="n">
        <x:v>1</x:v>
      </x:c>
      <x:c r="AC26" t="n">
        <x:f>COUNTIF($B$4:$B$23,AB26)</x:f>
        <x:v>1</x:v>
      </x:c>
    </x:row>
    <x:row r="27" ht="21" customHeight="1">
      <x:c r="A27" s="1" t="str">
        <x:v>Fuera de rango</x:v>
      </x:c>
      <x:c r="B27" s="1"/>
      <x:c r="C27" s="1" t="n">
        <x:f>COUNTIF(B4:B23,"&lt;1")+COUNTIF(B4:B23,"&gt;20")</x:f>
        <x:v>0</x:v>
      </x:c>
      <x:c r="D27" s="1"/>
      <x:c r="E27" s="1"/>
      <x:c r="F27" s="1"/>
      <x:c r="G27" s="1"/>
      <x:c r="AB27" t="n">
        <x:v>2</x:v>
      </x:c>
      <x:c r="AC27" t="n">
        <x:f>COUNTIF($B$4:$B$23,AB27)</x:f>
        <x:v>1</x:v>
      </x:c>
    </x:row>
    <x:row r="28" ht="21" customHeight="1">
      <x:c r="A28" s="1"/>
      <x:c r="B28" s="1"/>
      <x:c r="C28" s="1"/>
      <x:c r="D28" s="1"/>
      <x:c r="E28" s="1"/>
      <x:c r="F28" s="1"/>
      <x:c r="G28" s="1"/>
      <x:c r="AB28" t="n">
        <x:v>3</x:v>
      </x:c>
      <x:c r="AC28" t="n">
        <x:f>COUNTIF($B$4:$B$23,AB28)</x:f>
        <x:v>1</x:v>
      </x:c>
    </x:row>
    <x:row r="29" ht="21" customHeight="1">
      <x:c r="A29" s="1" t="str">
        <x:v>Óptimo obtenido con Gurobi en NEOS. Trabajo 24012137: 3946 km; cota 3946; gap 0 %.</x:v>
      </x:c>
      <x:c r="B29" s="1"/>
      <x:c r="C29" s="1"/>
      <x:c r="D29" s="1"/>
      <x:c r="E29" s="1"/>
      <x:c r="F29" s="1"/>
      <x:c r="G29" s="1"/>
      <x:c r="AB29" t="n">
        <x:v>4</x:v>
      </x:c>
      <x:c r="AC29" t="n">
        <x:f>COUNTIF($B$4:$B$23,AB29)</x:f>
        <x:v>1</x:v>
      </x:c>
    </x:row>
    <x:row r="30" ht="21" customHeight="1">
      <x:c r="A30" s="1"/>
      <x:c r="B30" s="1"/>
      <x:c r="C30" s="1"/>
      <x:c r="D30" s="1"/>
      <x:c r="E30" s="1"/>
      <x:c r="F30" s="1"/>
      <x:c r="G30" s="1"/>
      <x:c r="AB30" t="n">
        <x:v>5</x:v>
      </x:c>
      <x:c r="AC30" t="n">
        <x:f>COUNTIF($B$4:$B$23,AB30)</x:f>
        <x:v>1</x:v>
      </x:c>
    </x:row>
    <x:row r="31" ht="21" customHeight="1">
      <x:c r="A31" s="1" t="str">
        <x:v>Las celdas de distancias, sumas y controles contienen fórmulas. El último tramo vuelve al origen.</x:v>
      </x:c>
      <x:c r="B31" s="1"/>
      <x:c r="C31" s="1"/>
      <x:c r="D31" s="1"/>
      <x:c r="E31" s="1"/>
      <x:c r="F31" s="1"/>
      <x:c r="G31" s="1"/>
      <x:c r="AB31" t="n">
        <x:v>6</x:v>
      </x:c>
      <x:c r="AC31" t="n">
        <x:f>COUNTIF($B$4:$B$23,AB31)</x:f>
        <x:v>1</x:v>
      </x:c>
    </x:row>
    <x:row r="32" ht="21" customHeight="1">
      <x:c r="A32" s="1"/>
      <x:c r="B32" s="1"/>
      <x:c r="C32" s="1"/>
      <x:c r="D32" s="1"/>
      <x:c r="E32" s="1"/>
      <x:c r="F32" s="1"/>
      <x:c r="G32" s="1"/>
      <x:c r="AB32" t="n">
        <x:v>7</x:v>
      </x:c>
      <x:c r="AC32" t="n">
        <x:f>COUNTIF($B$4:$B$23,AB32)</x:f>
        <x:v>1</x:v>
      </x:c>
    </x:row>
    <x:row r="33" ht="21" customHeight="1">
      <x:c r="A33" s="1" t="str">
        <x:v>Ruta reconstruida de model0.sol: las variables Xij = 1 indican los desplazamientos elegidos.</x:v>
      </x:c>
      <x:c r="B33" s="1"/>
      <x:c r="C33" s="1"/>
      <x:c r="D33" s="1"/>
      <x:c r="E33" s="1"/>
      <x:c r="F33" s="1"/>
      <x:c r="G33" s="1"/>
      <x:c r="AB33" t="n">
        <x:v>8</x:v>
      </x:c>
      <x:c r="AC33" t="n">
        <x:f>COUNTIF($B$4:$B$23,AB33)</x:f>
        <x:v>1</x:v>
      </x:c>
    </x:row>
    <x:row r="34" ht="21" customHeight="1">
      <x:c r="A34" s="1"/>
      <x:c r="B34" s="1"/>
      <x:c r="C34" s="1"/>
      <x:c r="D34" s="1"/>
      <x:c r="E34" s="1"/>
      <x:c r="F34" s="1"/>
      <x:c r="G34" s="1"/>
      <x:c r="AB34" t="n">
        <x:v>9</x:v>
      </x:c>
      <x:c r="AC34" t="n">
        <x:f>COUNTIF($B$4:$B$23,AB34)</x:f>
        <x:v>1</x:v>
      </x:c>
    </x:row>
    <x:row r="35" ht="21" customHeight="1">
      <x:c r="A35" s="1"/>
      <x:c r="B35" s="1"/>
      <x:c r="C35" s="1"/>
      <x:c r="D35" s="1"/>
      <x:c r="E35" s="1"/>
      <x:c r="F35" s="1"/>
      <x:c r="G35" s="1"/>
      <x:c r="AB35" t="n">
        <x:v>10</x:v>
      </x:c>
      <x:c r="AC35" t="n">
        <x:f>COUNTIF($B$4:$B$23,AB35)</x:f>
        <x:v>1</x:v>
      </x:c>
    </x:row>
    <x:row r="36" ht="21" customHeight="1">
      <x:c r="A36" s="1"/>
      <x:c r="B36" s="1"/>
      <x:c r="C36" s="1"/>
      <x:c r="D36" s="1"/>
      <x:c r="E36" s="1"/>
      <x:c r="F36" s="1"/>
      <x:c r="G36" s="1"/>
      <x:c r="AB36" t="n">
        <x:v>11</x:v>
      </x:c>
      <x:c r="AC36" t="n">
        <x:f>COUNTIF($B$4:$B$23,AB36)</x:f>
        <x:v>1</x:v>
      </x:c>
    </x:row>
    <x:row r="37" ht="21" customHeight="1">
      <x:c r="A37" s="1"/>
      <x:c r="B37" s="1"/>
      <x:c r="C37" s="1"/>
      <x:c r="D37" s="1"/>
      <x:c r="E37" s="1"/>
      <x:c r="F37" s="1"/>
      <x:c r="G37" s="1"/>
      <x:c r="AB37" t="n">
        <x:v>12</x:v>
      </x:c>
      <x:c r="AC37" t="n">
        <x:f>COUNTIF($B$4:$B$23,AB37)</x:f>
        <x:v>1</x:v>
      </x:c>
    </x:row>
    <x:row r="38" ht="21" customHeight="1">
      <x:c r="A38" s="1"/>
      <x:c r="B38" s="1"/>
      <x:c r="C38" s="1"/>
      <x:c r="D38" s="1"/>
      <x:c r="E38" s="1"/>
      <x:c r="F38" s="1"/>
      <x:c r="G38" s="1"/>
      <x:c r="AB38" t="n">
        <x:v>13</x:v>
      </x:c>
      <x:c r="AC38" t="n">
        <x:f>COUNTIF($B$4:$B$23,AB38)</x:f>
        <x:v>1</x:v>
      </x:c>
    </x:row>
    <x:row r="39" ht="21" customHeight="1">
      <x:c r="A39" s="1"/>
      <x:c r="B39" s="1"/>
      <x:c r="C39" s="1"/>
      <x:c r="D39" s="1"/>
      <x:c r="E39" s="1"/>
      <x:c r="F39" s="1"/>
      <x:c r="G39" s="1"/>
      <x:c r="AB39" t="n">
        <x:v>14</x:v>
      </x:c>
      <x:c r="AC39" t="n">
        <x:f>COUNTIF($B$4:$B$23,AB39)</x:f>
        <x:v>1</x:v>
      </x:c>
    </x:row>
    <x:row r="40" ht="21" customHeight="1">
      <x:c r="A40" s="2" t="str">
        <x:v>Total (km)</x:v>
      </x:c>
      <x:c r="B40" s="2"/>
      <x:c r="C40" s="2" t="n">
        <x:f>SUM(F4:F23)</x:f>
        <x:v>3946</x:v>
      </x:c>
      <x:c r="D40" s="1"/>
      <x:c r="E40" s="1"/>
      <x:c r="F40" s="1"/>
      <x:c r="G40" s="1"/>
      <x:c r="AB40" t="n">
        <x:v>15</x:v>
      </x:c>
      <x:c r="AC40" t="n">
        <x:f>COUNTIF($B$4:$B$23,AB40)</x:f>
        <x:v>1</x:v>
      </x:c>
    </x:row>
    <x:row r="41" ht="21" customHeight="1">
      <x:c r="A41" s="1"/>
      <x:c r="B41" s="1"/>
      <x:c r="C41" s="1"/>
      <x:c r="D41" s="1"/>
      <x:c r="E41" s="1"/>
      <x:c r="F41" s="1"/>
      <x:c r="G41" s="1"/>
      <x:c r="AB41" t="n">
        <x:v>16</x:v>
      </x:c>
      <x:c r="AC41" t="n">
        <x:f>COUNTIF($B$4:$B$23,AB41)</x:f>
        <x:v>1</x:v>
      </x:c>
    </x:row>
    <x:row r="42" ht="21" customHeight="1">
      <x:c r="A42" s="1"/>
      <x:c r="B42" s="1"/>
      <x:c r="C42" s="1"/>
      <x:c r="D42" s="1"/>
      <x:c r="E42" s="1"/>
      <x:c r="F42" s="1"/>
      <x:c r="G42" s="1"/>
      <x:c r="AB42" t="n">
        <x:v>17</x:v>
      </x:c>
      <x:c r="AC42" t="n">
        <x:f>COUNTIF($B$4:$B$23,AB42)</x:f>
        <x:v>1</x:v>
      </x:c>
    </x:row>
    <x:row r="43" ht="21" customHeight="1">
      <x:c r="A43" s="1"/>
      <x:c r="B43" s="1"/>
      <x:c r="C43" s="1"/>
      <x:c r="D43" s="1"/>
      <x:c r="E43" s="1"/>
      <x:c r="F43" s="1"/>
      <x:c r="G43" s="1"/>
      <x:c r="AB43" t="n">
        <x:v>18</x:v>
      </x:c>
      <x:c r="AC43" t="n">
        <x:f>COUNTIF($B$4:$B$23,AB43)</x:f>
        <x:v>1</x:v>
      </x:c>
    </x:row>
    <x:row r="44" ht="21" customHeight="1">
      <x:c r="A44" s="1"/>
      <x:c r="B44" s="1"/>
      <x:c r="C44" s="1"/>
      <x:c r="D44" s="1"/>
      <x:c r="E44" s="1"/>
      <x:c r="F44" s="1"/>
      <x:c r="G44" s="1"/>
      <x:c r="AB44" t="n">
        <x:v>19</x:v>
      </x:c>
      <x:c r="AC44" t="n">
        <x:f>COUNTIF($B$4:$B$23,AB44)</x:f>
        <x:v>1</x:v>
      </x:c>
    </x:row>
    <x:row r="45">
      <x:c r="AB45" t="n">
        <x:v>20</x:v>
      </x:c>
      <x:c r="AC45" t="n">
        <x:f>COUNTIF($B$4:$B$23,AB45)</x:f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</x:cols>
  <x:sheetData>
    <x:row r="1" ht="21" customHeight="1">
      <x:c r="A1" s="1" t="str">
        <x:v>Fuente: Práctica TSP Logística y Servicios.pdf, p. 1. Distancias en km.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21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 ht="38" customHeight="1">
      <x:c r="A3" s="4" t="str">
        <x:v>Ciudad</x:v>
      </x:c>
      <x:c r="B3" s="4" t="str">
        <x:v>A Coruña</x:v>
      </x:c>
      <x:c r="C3" s="4" t="str">
        <x:v>Albacete</x:v>
      </x:c>
      <x:c r="D3" s="4" t="str">
        <x:v>Alicante</x:v>
      </x:c>
      <x:c r="E3" s="4" t="str">
        <x:v>Badajoz</x:v>
      </x:c>
      <x:c r="F3" s="4" t="str">
        <x:v>Barcelona</x:v>
      </x:c>
      <x:c r="G3" s="4" t="str">
        <x:v>Burgos</x:v>
      </x:c>
      <x:c r="H3" s="4" t="str">
        <x:v>Castellón</x:v>
      </x:c>
      <x:c r="I3" s="4" t="str">
        <x:v>Córdoba</x:v>
      </x:c>
      <x:c r="J3" s="4" t="str">
        <x:v>León</x:v>
      </x:c>
      <x:c r="K3" s="4" t="str">
        <x:v>Lleida</x:v>
      </x:c>
      <x:c r="L3" s="4" t="str">
        <x:v>Madrid</x:v>
      </x:c>
      <x:c r="M3" s="4" t="str">
        <x:v>Málaga</x:v>
      </x:c>
      <x:c r="N3" s="4" t="str">
        <x:v>Ourense</x:v>
      </x:c>
      <x:c r="O3" s="4" t="str">
        <x:v>Pamplona</x:v>
      </x:c>
      <x:c r="P3" s="4" t="str">
        <x:v>Salamanca</x:v>
      </x:c>
      <x:c r="Q3" s="4" t="str">
        <x:v>Santander</x:v>
      </x:c>
      <x:c r="R3" s="4" t="str">
        <x:v>Sevilla</x:v>
      </x:c>
      <x:c r="S3" s="4" t="str">
        <x:v>Valencia</x:v>
      </x:c>
      <x:c r="T3" s="4" t="str">
        <x:v>Vigo</x:v>
      </x:c>
      <x:c r="U3" s="4" t="str">
        <x:v>Zaragoza</x:v>
      </x:c>
    </x:row>
    <x:row r="4" ht="21" customHeight="1">
      <x:c r="A4" s="1" t="str">
        <x:v>A Coruña</x:v>
      </x:c>
      <x:c r="B4" s="1" t="n">
        <x:v>0</x:v>
      </x:c>
      <x:c r="C4" s="1" t="n">
        <x:v>806</x:v>
      </x:c>
      <x:c r="D4" s="1" t="n">
        <x:v>969</x:v>
      </x:c>
      <x:c r="E4" s="1" t="n">
        <x:v>615</x:v>
      </x:c>
      <x:c r="F4" s="1" t="n">
        <x:v>1029</x:v>
      </x:c>
      <x:c r="G4" s="1" t="n">
        <x:v>461</x:v>
      </x:c>
      <x:c r="H4" s="1" t="n">
        <x:v>896</x:v>
      </x:c>
      <x:c r="I4" s="1" t="n">
        <x:v>823</x:v>
      </x:c>
      <x:c r="J4" s="1" t="n">
        <x:v>286</x:v>
      </x:c>
      <x:c r="K4" s="1" t="n">
        <x:v>876</x:v>
      </x:c>
      <x:c r="L4" s="1" t="n">
        <x:v>564</x:v>
      </x:c>
      <x:c r="M4" s="1" t="n">
        <x:v>971</x:v>
      </x:c>
      <x:c r="N4" s="1" t="n">
        <x:v>144</x:v>
      </x:c>
      <x:c r="O4" s="1" t="n">
        <x:v>657</x:v>
      </x:c>
      <x:c r="P4" s="1" t="n">
        <x:v>426</x:v>
      </x:c>
      <x:c r="Q4" s="1" t="n">
        <x:v>435</x:v>
      </x:c>
      <x:c r="R4" s="1" t="n">
        <x:v>825</x:v>
      </x:c>
      <x:c r="S4" s="1" t="n">
        <x:v>908</x:v>
      </x:c>
      <x:c r="T4" s="1" t="n">
        <x:v>141</x:v>
      </x:c>
      <x:c r="U4" s="1" t="n">
        <x:v>737</x:v>
      </x:c>
    </x:row>
    <x:row r="5" ht="21" customHeight="1">
      <x:c r="A5" s="1" t="str">
        <x:v>Albacete</x:v>
      </x:c>
      <x:c r="B5" s="1" t="n">
        <x:v>806</x:v>
      </x:c>
      <x:c r="C5" s="1" t="n">
        <x:v>0</x:v>
      </x:c>
      <x:c r="D5" s="1" t="n">
        <x:v>163</x:v>
      </x:c>
      <x:c r="E5" s="1" t="n">
        <x:v>504</x:v>
      </x:c>
      <x:c r="F5" s="1" t="n">
        <x:v>497</x:v>
      </x:c>
      <x:c r="G5" s="1" t="n">
        <x:v>461</x:v>
      </x:c>
      <x:c r="H5" s="1" t="n">
        <x:v>228</x:v>
      </x:c>
      <x:c r="I5" s="1" t="n">
        <x:v>324</x:v>
      </x:c>
      <x:c r="J5" s="1" t="n">
        <x:v>562</x:v>
      </x:c>
      <x:c r="K5" s="1" t="n">
        <x:v>451</x:v>
      </x:c>
      <x:c r="L5" s="1" t="n">
        <x:v>240</x:v>
      </x:c>
      <x:c r="M5" s="1" t="n">
        <x:v>416</x:v>
      </x:c>
      <x:c r="N5" s="1" t="n">
        <x:v>722</x:v>
      </x:c>
      <x:c r="O5" s="1" t="n">
        <x:v>519</x:v>
      </x:c>
      <x:c r="P5" s="1" t="n">
        <x:v>438</x:v>
      </x:c>
      <x:c r="Q5" s="1" t="n">
        <x:v>610</x:v>
      </x:c>
      <x:c r="R5" s="1" t="n">
        <x:v>460</x:v>
      </x:c>
      <x:c r="S5" s="1" t="n">
        <x:v>167</x:v>
      </x:c>
      <x:c r="T5" s="1" t="n">
        <x:v>796</x:v>
      </x:c>
      <x:c r="U5" s="1" t="n">
        <x:v>379</x:v>
      </x:c>
    </x:row>
    <x:row r="6" ht="21" customHeight="1">
      <x:c r="A6" s="1" t="str">
        <x:v>Alicante</x:v>
      </x:c>
      <x:c r="B6" s="1" t="n">
        <x:v>969</x:v>
      </x:c>
      <x:c r="C6" s="1" t="n">
        <x:v>163</x:v>
      </x:c>
      <x:c r="D6" s="1" t="n">
        <x:v>0</x:v>
      </x:c>
      <x:c r="E6" s="1" t="n">
        <x:v>651</x:v>
      </x:c>
      <x:c r="F6" s="1" t="n">
        <x:v>494</x:v>
      </x:c>
      <x:c r="G6" s="1" t="n">
        <x:v>624</x:v>
      </x:c>
      <x:c r="H6" s="1" t="n">
        <x:v>225</x:v>
      </x:c>
      <x:c r="I6" s="1" t="n">
        <x:v>442</x:v>
      </x:c>
      <x:c r="J6" s="1" t="n">
        <x:v>725</x:v>
      </x:c>
      <x:c r="K6" s="1" t="n">
        <x:v>455</x:v>
      </x:c>
      <x:c r="L6" s="1" t="n">
        <x:v>403</x:v>
      </x:c>
      <x:c r="M6" s="1" t="n">
        <x:v>452</x:v>
      </x:c>
      <x:c r="N6" s="1" t="n">
        <x:v>885</x:v>
      </x:c>
      <x:c r="O6" s="1" t="n">
        <x:v>601</x:v>
      </x:c>
      <x:c r="P6" s="1" t="n">
        <x:v>601</x:v>
      </x:c>
      <x:c r="Q6" s="1" t="n">
        <x:v>773</x:v>
      </x:c>
      <x:c r="R6" s="1" t="n">
        <x:v>569</x:v>
      </x:c>
      <x:c r="S6" s="1" t="n">
        <x:v>158</x:v>
      </x:c>
      <x:c r="T6" s="1" t="n">
        <x:v>959</x:v>
      </x:c>
      <x:c r="U6" s="1" t="n">
        <x:v>456</x:v>
      </x:c>
    </x:row>
    <x:row r="7" ht="21" customHeight="1">
      <x:c r="A7" s="1" t="str">
        <x:v>Badajoz</x:v>
      </x:c>
      <x:c r="B7" s="1" t="n">
        <x:v>615</x:v>
      </x:c>
      <x:c r="C7" s="1" t="n">
        <x:v>504</x:v>
      </x:c>
      <x:c r="D7" s="1" t="n">
        <x:v>651</x:v>
      </x:c>
      <x:c r="E7" s="1" t="n">
        <x:v>0</x:v>
      </x:c>
      <x:c r="F7" s="1" t="n">
        <x:v>974</x:v>
      </x:c>
      <x:c r="G7" s="1" t="n">
        <x:v>528</x:v>
      </x:c>
      <x:c r="H7" s="1" t="n">
        <x:v>710</x:v>
      </x:c>
      <x:c r="I7" s="1" t="n">
        <x:v>256</x:v>
      </x:c>
      <x:c r="J7" s="1" t="n">
        <x:v>490</x:v>
      </x:c>
      <x:c r="K7" s="1" t="n">
        <x:v>830</x:v>
      </x:c>
      <x:c r="L7" s="1" t="n">
        <x:v>381</x:v>
      </x:c>
      <x:c r="M7" s="1" t="n">
        <x:v>369</x:v>
      </x:c>
      <x:c r="N7" s="1" t="n">
        <x:v>488</x:v>
      </x:c>
      <x:c r="O7" s="1" t="n">
        <x:v>727</x:v>
      </x:c>
      <x:c r="P7" s="1" t="n">
        <x:v>295</x:v>
      </x:c>
      <x:c r="Q7" s="1" t="n">
        <x:v>646</x:v>
      </x:c>
      <x:c r="R7" s="1" t="n">
        <x:v>207</x:v>
      </x:c>
      <x:c r="S7" s="1" t="n">
        <x:v>649</x:v>
      </x:c>
      <x:c r="T7" s="1" t="n">
        <x:v>478</x:v>
      </x:c>
      <x:c r="U7" s="1" t="n">
        <x:v>687</x:v>
      </x:c>
    </x:row>
    <x:row r="8" ht="21" customHeight="1">
      <x:c r="A8" s="1" t="str">
        <x:v>Barcelona</x:v>
      </x:c>
      <x:c r="B8" s="1" t="n">
        <x:v>1029</x:v>
      </x:c>
      <x:c r="C8" s="1" t="n">
        <x:v>497</x:v>
      </x:c>
      <x:c r="D8" s="1" t="n">
        <x:v>494</x:v>
      </x:c>
      <x:c r="E8" s="1" t="n">
        <x:v>974</x:v>
      </x:c>
      <x:c r="F8" s="1" t="n">
        <x:v>0</x:v>
      </x:c>
      <x:c r="G8" s="1" t="n">
        <x:v>577</x:v>
      </x:c>
      <x:c r="H8" s="1" t="n">
        <x:v>269</x:v>
      </x:c>
      <x:c r="I8" s="1" t="n">
        <x:v>818</x:v>
      </x:c>
      <x:c r="J8" s="1" t="n">
        <x:v>755</x:v>
      </x:c>
      <x:c r="K8" s="1" t="n">
        <x:v>155</x:v>
      </x:c>
      <x:c r="L8" s="1" t="n">
        <x:v>590</x:v>
      </x:c>
      <x:c r="M8" s="1" t="n">
        <x:v>894</x:v>
      </x:c>
      <x:c r="N8" s="1" t="n">
        <x:v>964</x:v>
      </x:c>
      <x:c r="O8" s="1" t="n">
        <x:v>422</x:v>
      </x:c>
      <x:c r="P8" s="1" t="n">
        <x:v>757</x:v>
      </x:c>
      <x:c r="Q8" s="1" t="n">
        <x:v>651</x:v>
      </x:c>
      <x:c r="R8" s="1" t="n">
        <x:v>954</x:v>
      </x:c>
      <x:c r="S8" s="1" t="n">
        <x:v>336</x:v>
      </x:c>
      <x:c r="T8" s="1" t="n">
        <x:v>1039</x:v>
      </x:c>
      <x:c r="U8" s="1" t="n">
        <x:v>296</x:v>
      </x:c>
    </x:row>
    <x:row r="9" ht="21" customHeight="1">
      <x:c r="A9" s="1" t="str">
        <x:v>Burgos</x:v>
      </x:c>
      <x:c r="B9" s="1" t="n">
        <x:v>461</x:v>
      </x:c>
      <x:c r="C9" s="1" t="n">
        <x:v>461</x:v>
      </x:c>
      <x:c r="D9" s="1" t="n">
        <x:v>624</x:v>
      </x:c>
      <x:c r="E9" s="1" t="n">
        <x:v>528</x:v>
      </x:c>
      <x:c r="F9" s="1" t="n">
        <x:v>577</x:v>
      </x:c>
      <x:c r="G9" s="1" t="n">
        <x:v>0</x:v>
      </x:c>
      <x:c r="H9" s="1" t="n">
        <x:v>470</x:v>
      </x:c>
      <x:c r="I9" s="1" t="n">
        <x:v>589</x:v>
      </x:c>
      <x:c r="J9" s="1" t="n">
        <x:v>180</x:v>
      </x:c>
      <x:c r="K9" s="1" t="n">
        <x:v>424</x:v>
      </x:c>
      <x:c r="L9" s="1" t="n">
        <x:v>231</x:v>
      </x:c>
      <x:c r="M9" s="1" t="n">
        <x:v>713</x:v>
      </x:c>
      <x:c r="N9" s="1" t="n">
        <x:v>403</x:v>
      </x:c>
      <x:c r="O9" s="1" t="n">
        <x:v>202</x:v>
      </x:c>
      <x:c r="P9" s="1" t="n">
        <x:v>234</x:v>
      </x:c>
      <x:c r="Q9" s="1" t="n">
        <x:v>147</x:v>
      </x:c>
      <x:c r="R9" s="1" t="n">
        <x:v>697</x:v>
      </x:c>
      <x:c r="S9" s="1" t="n">
        <x:v>489</x:v>
      </x:c>
      <x:c r="T9" s="1" t="n">
        <x:v>477</x:v>
      </x:c>
      <x:c r="U9" s="1" t="n">
        <x:v>285</x:v>
      </x:c>
    </x:row>
    <x:row r="10" ht="21" customHeight="1">
      <x:c r="A10" s="1" t="str">
        <x:v>Castellón</x:v>
      </x:c>
      <x:c r="B10" s="1" t="n">
        <x:v>896</x:v>
      </x:c>
      <x:c r="C10" s="1" t="n">
        <x:v>228</x:v>
      </x:c>
      <x:c r="D10" s="1" t="n">
        <x:v>225</x:v>
      </x:c>
      <x:c r="E10" s="1" t="n">
        <x:v>710</x:v>
      </x:c>
      <x:c r="F10" s="1" t="n">
        <x:v>269</x:v>
      </x:c>
      <x:c r="G10" s="1" t="n">
        <x:v>470</x:v>
      </x:c>
      <x:c r="H10" s="1" t="n">
        <x:v>0</x:v>
      </x:c>
      <x:c r="I10" s="1" t="n">
        <x:v>549</x:v>
      </x:c>
      <x:c r="J10" s="1" t="n">
        <x:v>629</x:v>
      </x:c>
      <x:c r="K10" s="1" t="n">
        <x:v>230</x:v>
      </x:c>
      <x:c r="L10" s="1" t="n">
        <x:v>395</x:v>
      </x:c>
      <x:c r="M10" s="1" t="n">
        <x:v>625</x:v>
      </x:c>
      <x:c r="N10" s="1" t="n">
        <x:v>831</x:v>
      </x:c>
      <x:c r="O10" s="1" t="n">
        <x:v>422</x:v>
      </x:c>
      <x:c r="P10" s="1" t="n">
        <x:v>598</x:v>
      </x:c>
      <x:c r="Q10" s="1" t="n">
        <x:v>620</x:v>
      </x:c>
      <x:c r="R10" s="1" t="n">
        <x:v>686</x:v>
      </x:c>
      <x:c r="S10" s="1" t="n">
        <x:v>67</x:v>
      </x:c>
      <x:c r="T10" s="1" t="n">
        <x:v>906</x:v>
      </x:c>
      <x:c r="U10" s="1" t="n">
        <x:v>252</x:v>
      </x:c>
    </x:row>
    <x:row r="11" ht="21" customHeight="1">
      <x:c r="A11" s="1" t="str">
        <x:v>Córdoba</x:v>
      </x:c>
      <x:c r="B11" s="1" t="n">
        <x:v>823</x:v>
      </x:c>
      <x:c r="C11" s="1" t="n">
        <x:v>324</x:v>
      </x:c>
      <x:c r="D11" s="1" t="n">
        <x:v>442</x:v>
      </x:c>
      <x:c r="E11" s="1" t="n">
        <x:v>256</x:v>
      </x:c>
      <x:c r="F11" s="1" t="n">
        <x:v>818</x:v>
      </x:c>
      <x:c r="G11" s="1" t="n">
        <x:v>589</x:v>
      </x:c>
      <x:c r="H11" s="1" t="n">
        <x:v>549</x:v>
      </x:c>
      <x:c r="I11" s="1" t="n">
        <x:v>0</x:v>
      </x:c>
      <x:c r="J11" s="1" t="n">
        <x:v>630</x:v>
      </x:c>
      <x:c r="K11" s="1" t="n">
        <x:v>747</x:v>
      </x:c>
      <x:c r="L11" s="1" t="n">
        <x:v>358</x:v>
      </x:c>
      <x:c r="M11" s="1" t="n">
        <x:v>155</x:v>
      </x:c>
      <x:c r="N11" s="1" t="n">
        <x:v>678</x:v>
      </x:c>
      <x:c r="O11" s="1" t="n">
        <x:v>718</x:v>
      </x:c>
      <x:c r="P11" s="1" t="n">
        <x:v>436</x:v>
      </x:c>
      <x:c r="Q11" s="1" t="n">
        <x:v>738</x:v>
      </x:c>
      <x:c r="R11" s="1" t="n">
        <x:v>136</x:v>
      </x:c>
      <x:c r="S11" s="1" t="n">
        <x:v>488</x:v>
      </x:c>
      <x:c r="T11" s="1" t="n">
        <x:v>723</x:v>
      </x:c>
      <x:c r="U11" s="1" t="n">
        <x:v>633</x:v>
      </x:c>
    </x:row>
    <x:row r="12" ht="21" customHeight="1">
      <x:c r="A12" s="1" t="str">
        <x:v>León</x:v>
      </x:c>
      <x:c r="B12" s="1" t="n">
        <x:v>286</x:v>
      </x:c>
      <x:c r="C12" s="1" t="n">
        <x:v>562</x:v>
      </x:c>
      <x:c r="D12" s="1" t="n">
        <x:v>725</x:v>
      </x:c>
      <x:c r="E12" s="1" t="n">
        <x:v>490</x:v>
      </x:c>
      <x:c r="F12" s="1" t="n">
        <x:v>755</x:v>
      </x:c>
      <x:c r="G12" s="1" t="n">
        <x:v>180</x:v>
      </x:c>
      <x:c r="H12" s="1" t="n">
        <x:v>629</x:v>
      </x:c>
      <x:c r="I12" s="1" t="n">
        <x:v>630</x:v>
      </x:c>
      <x:c r="J12" s="1" t="n">
        <x:v>0</x:v>
      </x:c>
      <x:c r="K12" s="1" t="n">
        <x:v>602</x:v>
      </x:c>
      <x:c r="L12" s="1" t="n">
        <x:v>320</x:v>
      </x:c>
      <x:c r="M12" s="1" t="n">
        <x:v>778</x:v>
      </x:c>
      <x:c r="N12" s="1" t="n">
        <x:v>235</x:v>
      </x:c>
      <x:c r="O12" s="1" t="n">
        <x:v>381</x:v>
      </x:c>
      <x:c r="P12" s="1" t="n">
        <x:v>194</x:v>
      </x:c>
      <x:c r="Q12" s="1" t="n">
        <x:v>229</x:v>
      </x:c>
      <x:c r="R12" s="1" t="n">
        <x:v>659</x:v>
      </x:c>
      <x:c r="S12" s="1" t="n">
        <x:v>642</x:v>
      </x:c>
      <x:c r="T12" s="1" t="n">
        <x:v>323</x:v>
      </x:c>
      <x:c r="U12" s="1" t="n">
        <x:v>463</x:v>
      </x:c>
    </x:row>
    <x:row r="13" ht="21" customHeight="1">
      <x:c r="A13" s="1" t="str">
        <x:v>Lleida</x:v>
      </x:c>
      <x:c r="B13" s="1" t="n">
        <x:v>876</x:v>
      </x:c>
      <x:c r="C13" s="1" t="n">
        <x:v>451</x:v>
      </x:c>
      <x:c r="D13" s="1" t="n">
        <x:v>455</x:v>
      </x:c>
      <x:c r="E13" s="1" t="n">
        <x:v>830</x:v>
      </x:c>
      <x:c r="F13" s="1" t="n">
        <x:v>155</x:v>
      </x:c>
      <x:c r="G13" s="1" t="n">
        <x:v>424</x:v>
      </x:c>
      <x:c r="H13" s="1" t="n">
        <x:v>230</x:v>
      </x:c>
      <x:c r="I13" s="1" t="n">
        <x:v>747</x:v>
      </x:c>
      <x:c r="J13" s="1" t="n">
        <x:v>602</x:v>
      </x:c>
      <x:c r="K13" s="1" t="n">
        <x:v>0</x:v>
      </x:c>
      <x:c r="L13" s="1" t="n">
        <x:v>446</x:v>
      </x:c>
      <x:c r="M13" s="1" t="n">
        <x:v>845</x:v>
      </x:c>
      <x:c r="N13" s="1" t="n">
        <x:v>811</x:v>
      </x:c>
      <x:c r="O13" s="1" t="n">
        <x:v>269</x:v>
      </x:c>
      <x:c r="P13" s="1" t="n">
        <x:v>604</x:v>
      </x:c>
      <x:c r="Q13" s="1" t="n">
        <x:v>498</x:v>
      </x:c>
      <x:c r="R13" s="1" t="n">
        <x:v>884</x:v>
      </x:c>
      <x:c r="S13" s="1" t="n">
        <x:v>297</x:v>
      </x:c>
      <x:c r="T13" s="1" t="n">
        <x:v>886</x:v>
      </x:c>
      <x:c r="U13" s="1" t="n">
        <x:v>142</x:v>
      </x:c>
    </x:row>
    <x:row r="14" ht="21" customHeight="1">
      <x:c r="A14" s="1" t="str">
        <x:v>Madrid</x:v>
      </x:c>
      <x:c r="B14" s="1" t="n">
        <x:v>564</x:v>
      </x:c>
      <x:c r="C14" s="1" t="n">
        <x:v>240</x:v>
      </x:c>
      <x:c r="D14" s="1" t="n">
        <x:v>403</x:v>
      </x:c>
      <x:c r="E14" s="1" t="n">
        <x:v>381</x:v>
      </x:c>
      <x:c r="F14" s="1" t="n">
        <x:v>590</x:v>
      </x:c>
      <x:c r="G14" s="1" t="n">
        <x:v>231</x:v>
      </x:c>
      <x:c r="H14" s="1" t="n">
        <x:v>395</x:v>
      </x:c>
      <x:c r="I14" s="1" t="n">
        <x:v>358</x:v>
      </x:c>
      <x:c r="J14" s="1" t="n">
        <x:v>320</x:v>
      </x:c>
      <x:c r="K14" s="1" t="n">
        <x:v>446</x:v>
      </x:c>
      <x:c r="L14" s="1" t="n">
        <x:v>0</x:v>
      </x:c>
      <x:c r="M14" s="1" t="n">
        <x:v>482</x:v>
      </x:c>
      <x:c r="N14" s="1" t="n">
        <x:v>480</x:v>
      </x:c>
      <x:c r="O14" s="1" t="n">
        <x:v>371</x:v>
      </x:c>
      <x:c r="P14" s="1" t="n">
        <x:v>200</x:v>
      </x:c>
      <x:c r="Q14" s="1" t="n">
        <x:v>380</x:v>
      </x:c>
      <x:c r="R14" s="1" t="n">
        <x:v>488</x:v>
      </x:c>
      <x:c r="S14" s="1" t="n">
        <x:v>341</x:v>
      </x:c>
      <x:c r="T14" s="1" t="n">
        <x:v>555</x:v>
      </x:c>
      <x:c r="U14" s="1" t="n">
        <x:v>303</x:v>
      </x:c>
    </x:row>
    <x:row r="15" ht="21" customHeight="1">
      <x:c r="A15" s="1" t="str">
        <x:v>Málaga</x:v>
      </x:c>
      <x:c r="B15" s="1" t="n">
        <x:v>971</x:v>
      </x:c>
      <x:c r="C15" s="1" t="n">
        <x:v>416</x:v>
      </x:c>
      <x:c r="D15" s="1" t="n">
        <x:v>452</x:v>
      </x:c>
      <x:c r="E15" s="1" t="n">
        <x:v>369</x:v>
      </x:c>
      <x:c r="F15" s="1" t="n">
        <x:v>894</x:v>
      </x:c>
      <x:c r="G15" s="1" t="n">
        <x:v>713</x:v>
      </x:c>
      <x:c r="H15" s="1" t="n">
        <x:v>625</x:v>
      </x:c>
      <x:c r="I15" s="1" t="n">
        <x:v>155</x:v>
      </x:c>
      <x:c r="J15" s="1" t="n">
        <x:v>778</x:v>
      </x:c>
      <x:c r="K15" s="1" t="n">
        <x:v>845</x:v>
      </x:c>
      <x:c r="L15" s="1" t="n">
        <x:v>482</x:v>
      </x:c>
      <x:c r="M15" s="1" t="n">
        <x:v>0</x:v>
      </x:c>
      <x:c r="N15" s="1" t="n">
        <x:v>827</x:v>
      </x:c>
      <x:c r="O15" s="1" t="n">
        <x:v>827</x:v>
      </x:c>
      <x:c r="P15" s="1" t="n">
        <x:v>584</x:v>
      </x:c>
      <x:c r="Q15" s="1" t="n">
        <x:v>863</x:v>
      </x:c>
      <x:c r="R15" s="1" t="n">
        <x:v>191</x:v>
      </x:c>
      <x:c r="S15" s="1" t="n">
        <x:v>558</x:v>
      </x:c>
      <x:c r="T15" s="1" t="n">
        <x:v>850</x:v>
      </x:c>
      <x:c r="U15" s="1" t="n">
        <x:v>732</x:v>
      </x:c>
    </x:row>
    <x:row r="16" ht="21" customHeight="1">
      <x:c r="A16" s="1" t="str">
        <x:v>Ourense</x:v>
      </x:c>
      <x:c r="B16" s="1" t="n">
        <x:v>144</x:v>
      </x:c>
      <x:c r="C16" s="1" t="n">
        <x:v>722</x:v>
      </x:c>
      <x:c r="D16" s="1" t="n">
        <x:v>885</x:v>
      </x:c>
      <x:c r="E16" s="1" t="n">
        <x:v>488</x:v>
      </x:c>
      <x:c r="F16" s="1" t="n">
        <x:v>964</x:v>
      </x:c>
      <x:c r="G16" s="1" t="n">
        <x:v>403</x:v>
      </x:c>
      <x:c r="H16" s="1" t="n">
        <x:v>831</x:v>
      </x:c>
      <x:c r="I16" s="1" t="n">
        <x:v>678</x:v>
      </x:c>
      <x:c r="J16" s="1" t="n">
        <x:v>235</x:v>
      </x:c>
      <x:c r="K16" s="1" t="n">
        <x:v>811</x:v>
      </x:c>
      <x:c r="L16" s="1" t="n">
        <x:v>480</x:v>
      </x:c>
      <x:c r="M16" s="1" t="n">
        <x:v>827</x:v>
      </x:c>
      <x:c r="N16" s="1" t="n">
        <x:v>0</x:v>
      </x:c>
      <x:c r="O16" s="1" t="n">
        <x:v>604</x:v>
      </x:c>
      <x:c r="P16" s="1" t="n">
        <x:v>305</x:v>
      </x:c>
      <x:c r="Q16" s="1" t="n">
        <x:v>445</x:v>
      </x:c>
      <x:c r="R16" s="1" t="n">
        <x:v>680</x:v>
      </x:c>
      <x:c r="S16" s="1" t="n">
        <x:v>823</x:v>
      </x:c>
      <x:c r="T16" s="1" t="n">
        <x:v>87</x:v>
      </x:c>
      <x:c r="U16" s="1" t="n">
        <x:v>672</x:v>
      </x:c>
    </x:row>
    <x:row r="17" ht="21" customHeight="1">
      <x:c r="A17" s="1" t="str">
        <x:v>Pamplona</x:v>
      </x:c>
      <x:c r="B17" s="1" t="n">
        <x:v>657</x:v>
      </x:c>
      <x:c r="C17" s="1" t="n">
        <x:v>519</x:v>
      </x:c>
      <x:c r="D17" s="1" t="n">
        <x:v>601</x:v>
      </x:c>
      <x:c r="E17" s="1" t="n">
        <x:v>727</x:v>
      </x:c>
      <x:c r="F17" s="1" t="n">
        <x:v>422</x:v>
      </x:c>
      <x:c r="G17" s="1" t="n">
        <x:v>202</x:v>
      </x:c>
      <x:c r="H17" s="1" t="n">
        <x:v>422</x:v>
      </x:c>
      <x:c r="I17" s="1" t="n">
        <x:v>718</x:v>
      </x:c>
      <x:c r="J17" s="1" t="n">
        <x:v>381</x:v>
      </x:c>
      <x:c r="K17" s="1" t="n">
        <x:v>269</x:v>
      </x:c>
      <x:c r="L17" s="1" t="n">
        <x:v>371</x:v>
      </x:c>
      <x:c r="M17" s="1" t="n">
        <x:v>827</x:v>
      </x:c>
      <x:c r="N17" s="1" t="n">
        <x:v>604</x:v>
      </x:c>
      <x:c r="O17" s="1" t="n">
        <x:v>0</x:v>
      </x:c>
      <x:c r="P17" s="1" t="n">
        <x:v>433</x:v>
      </x:c>
      <x:c r="Q17" s="1" t="n">
        <x:v>229</x:v>
      </x:c>
      <x:c r="R17" s="1" t="n">
        <x:v>854</x:v>
      </x:c>
      <x:c r="S17" s="1" t="n">
        <x:v>452</x:v>
      </x:c>
      <x:c r="T17" s="1" t="n">
        <x:v>678</x:v>
      </x:c>
      <x:c r="U17" s="1" t="n">
        <x:v>171</x:v>
      </x:c>
    </x:row>
    <x:row r="18" ht="21" customHeight="1">
      <x:c r="A18" s="1" t="str">
        <x:v>Salamanca</x:v>
      </x:c>
      <x:c r="B18" s="1" t="n">
        <x:v>426</x:v>
      </x:c>
      <x:c r="C18" s="1" t="n">
        <x:v>438</x:v>
      </x:c>
      <x:c r="D18" s="1" t="n">
        <x:v>601</x:v>
      </x:c>
      <x:c r="E18" s="1" t="n">
        <x:v>295</x:v>
      </x:c>
      <x:c r="F18" s="1" t="n">
        <x:v>757</x:v>
      </x:c>
      <x:c r="G18" s="1" t="n">
        <x:v>234</x:v>
      </x:c>
      <x:c r="H18" s="1" t="n">
        <x:v>598</x:v>
      </x:c>
      <x:c r="I18" s="1" t="n">
        <x:v>436</x:v>
      </x:c>
      <x:c r="J18" s="1" t="n">
        <x:v>194</x:v>
      </x:c>
      <x:c r="K18" s="1" t="n">
        <x:v>604</x:v>
      </x:c>
      <x:c r="L18" s="1" t="n">
        <x:v>200</x:v>
      </x:c>
      <x:c r="M18" s="1" t="n">
        <x:v>584</x:v>
      </x:c>
      <x:c r="N18" s="1" t="n">
        <x:v>305</x:v>
      </x:c>
      <x:c r="O18" s="1" t="n">
        <x:v>433</x:v>
      </x:c>
      <x:c r="P18" s="1" t="n">
        <x:v>0</x:v>
      </x:c>
      <x:c r="Q18" s="1" t="n">
        <x:v>352</x:v>
      </x:c>
      <x:c r="R18" s="1" t="n">
        <x:v>465</x:v>
      </x:c>
      <x:c r="S18" s="1" t="n">
        <x:v>544</x:v>
      </x:c>
      <x:c r="T18" s="1" t="n">
        <x:v>380</x:v>
      </x:c>
      <x:c r="U18" s="1" t="n">
        <x:v>465</x:v>
      </x:c>
    </x:row>
    <x:row r="19" ht="21" customHeight="1">
      <x:c r="A19" s="1" t="str">
        <x:v>Santander</x:v>
      </x:c>
      <x:c r="B19" s="1" t="n">
        <x:v>435</x:v>
      </x:c>
      <x:c r="C19" s="1" t="n">
        <x:v>610</x:v>
      </x:c>
      <x:c r="D19" s="1" t="n">
        <x:v>773</x:v>
      </x:c>
      <x:c r="E19" s="1" t="n">
        <x:v>646</x:v>
      </x:c>
      <x:c r="F19" s="1" t="n">
        <x:v>651</x:v>
      </x:c>
      <x:c r="G19" s="1" t="n">
        <x:v>147</x:v>
      </x:c>
      <x:c r="H19" s="1" t="n">
        <x:v>620</x:v>
      </x:c>
      <x:c r="I19" s="1" t="n">
        <x:v>738</x:v>
      </x:c>
      <x:c r="J19" s="1" t="n">
        <x:v>229</x:v>
      </x:c>
      <x:c r="K19" s="1" t="n">
        <x:v>498</x:v>
      </x:c>
      <x:c r="L19" s="1" t="n">
        <x:v>380</x:v>
      </x:c>
      <x:c r="M19" s="1" t="n">
        <x:v>863</x:v>
      </x:c>
      <x:c r="N19" s="1" t="n">
        <x:v>445</x:v>
      </x:c>
      <x:c r="O19" s="1" t="n">
        <x:v>229</x:v>
      </x:c>
      <x:c r="P19" s="1" t="n">
        <x:v>352</x:v>
      </x:c>
      <x:c r="Q19" s="1" t="n">
        <x:v>0</x:v>
      </x:c>
      <x:c r="R19" s="1" t="n">
        <x:v>815</x:v>
      </x:c>
      <x:c r="S19" s="1" t="n">
        <x:v>639</x:v>
      </x:c>
      <x:c r="T19" s="1" t="n">
        <x:v>528</x:v>
      </x:c>
      <x:c r="U19" s="1" t="n">
        <x:v>371</x:v>
      </x:c>
    </x:row>
    <x:row r="20" ht="21" customHeight="1">
      <x:c r="A20" s="1" t="str">
        <x:v>Sevilla</x:v>
      </x:c>
      <x:c r="B20" s="1" t="n">
        <x:v>825</x:v>
      </x:c>
      <x:c r="C20" s="1" t="n">
        <x:v>460</x:v>
      </x:c>
      <x:c r="D20" s="1" t="n">
        <x:v>569</x:v>
      </x:c>
      <x:c r="E20" s="1" t="n">
        <x:v>207</x:v>
      </x:c>
      <x:c r="F20" s="1" t="n">
        <x:v>954</x:v>
      </x:c>
      <x:c r="G20" s="1" t="n">
        <x:v>697</x:v>
      </x:c>
      <x:c r="H20" s="1" t="n">
        <x:v>686</x:v>
      </x:c>
      <x:c r="I20" s="1" t="n">
        <x:v>136</x:v>
      </x:c>
      <x:c r="J20" s="1" t="n">
        <x:v>659</x:v>
      </x:c>
      <x:c r="K20" s="1" t="n">
        <x:v>884</x:v>
      </x:c>
      <x:c r="L20" s="1" t="n">
        <x:v>488</x:v>
      </x:c>
      <x:c r="M20" s="1" t="n">
        <x:v>191</x:v>
      </x:c>
      <x:c r="N20" s="1" t="n">
        <x:v>680</x:v>
      </x:c>
      <x:c r="O20" s="1" t="n">
        <x:v>854</x:v>
      </x:c>
      <x:c r="P20" s="1" t="n">
        <x:v>465</x:v>
      </x:c>
      <x:c r="Q20" s="1" t="n">
        <x:v>815</x:v>
      </x:c>
      <x:c r="R20" s="1" t="n">
        <x:v>0</x:v>
      </x:c>
      <x:c r="S20" s="1" t="n">
        <x:v>625</x:v>
      </x:c>
      <x:c r="T20" s="1" t="n">
        <x:v>689</x:v>
      </x:c>
      <x:c r="U20" s="1" t="n">
        <x:v>770</x:v>
      </x:c>
    </x:row>
    <x:row r="21" ht="21" customHeight="1">
      <x:c r="A21" s="1" t="str">
        <x:v>Valencia</x:v>
      </x:c>
      <x:c r="B21" s="1" t="n">
        <x:v>908</x:v>
      </x:c>
      <x:c r="C21" s="1" t="n">
        <x:v>167</x:v>
      </x:c>
      <x:c r="D21" s="1" t="n">
        <x:v>158</x:v>
      </x:c>
      <x:c r="E21" s="1" t="n">
        <x:v>649</x:v>
      </x:c>
      <x:c r="F21" s="1" t="n">
        <x:v>336</x:v>
      </x:c>
      <x:c r="G21" s="1" t="n">
        <x:v>489</x:v>
      </x:c>
      <x:c r="H21" s="1" t="n">
        <x:v>67</x:v>
      </x:c>
      <x:c r="I21" s="1" t="n">
        <x:v>488</x:v>
      </x:c>
      <x:c r="J21" s="1" t="n">
        <x:v>642</x:v>
      </x:c>
      <x:c r="K21" s="1" t="n">
        <x:v>297</x:v>
      </x:c>
      <x:c r="L21" s="1" t="n">
        <x:v>341</x:v>
      </x:c>
      <x:c r="M21" s="1" t="n">
        <x:v>558</x:v>
      </x:c>
      <x:c r="N21" s="1" t="n">
        <x:v>823</x:v>
      </x:c>
      <x:c r="O21" s="1" t="n">
        <x:v>452</x:v>
      </x:c>
      <x:c r="P21" s="1" t="n">
        <x:v>544</x:v>
      </x:c>
      <x:c r="Q21" s="1" t="n">
        <x:v>639</x:v>
      </x:c>
      <x:c r="R21" s="1" t="n">
        <x:v>625</x:v>
      </x:c>
      <x:c r="S21" s="1" t="n">
        <x:v>0</x:v>
      </x:c>
      <x:c r="T21" s="1" t="n">
        <x:v>898</x:v>
      </x:c>
      <x:c r="U21" s="1" t="n">
        <x:v>306</x:v>
      </x:c>
    </x:row>
    <x:row r="22" ht="21" customHeight="1">
      <x:c r="A22" s="1" t="str">
        <x:v>Vigo</x:v>
      </x:c>
      <x:c r="B22" s="1" t="n">
        <x:v>141</x:v>
      </x:c>
      <x:c r="C22" s="1" t="n">
        <x:v>796</x:v>
      </x:c>
      <x:c r="D22" s="1" t="n">
        <x:v>959</x:v>
      </x:c>
      <x:c r="E22" s="1" t="n">
        <x:v>478</x:v>
      </x:c>
      <x:c r="F22" s="1" t="n">
        <x:v>1039</x:v>
      </x:c>
      <x:c r="G22" s="1" t="n">
        <x:v>477</x:v>
      </x:c>
      <x:c r="H22" s="1" t="n">
        <x:v>906</x:v>
      </x:c>
      <x:c r="I22" s="1" t="n">
        <x:v>723</x:v>
      </x:c>
      <x:c r="J22" s="1" t="n">
        <x:v>323</x:v>
      </x:c>
      <x:c r="K22" s="1" t="n">
        <x:v>886</x:v>
      </x:c>
      <x:c r="L22" s="1" t="n">
        <x:v>555</x:v>
      </x:c>
      <x:c r="M22" s="1" t="n">
        <x:v>850</x:v>
      </x:c>
      <x:c r="N22" s="1" t="n">
        <x:v>87</x:v>
      </x:c>
      <x:c r="O22" s="1" t="n">
        <x:v>678</x:v>
      </x:c>
      <x:c r="P22" s="1" t="n">
        <x:v>380</x:v>
      </x:c>
      <x:c r="Q22" s="1" t="n">
        <x:v>528</x:v>
      </x:c>
      <x:c r="R22" s="1" t="n">
        <x:v>689</x:v>
      </x:c>
      <x:c r="S22" s="1" t="n">
        <x:v>898</x:v>
      </x:c>
      <x:c r="T22" s="1" t="n">
        <x:v>0</x:v>
      </x:c>
      <x:c r="U22" s="1" t="n">
        <x:v>747</x:v>
      </x:c>
    </x:row>
    <x:row r="23" ht="21" customHeight="1">
      <x:c r="A23" s="1" t="str">
        <x:v>Zaragoza</x:v>
      </x:c>
      <x:c r="B23" s="1" t="n">
        <x:v>737</x:v>
      </x:c>
      <x:c r="C23" s="1" t="n">
        <x:v>379</x:v>
      </x:c>
      <x:c r="D23" s="1" t="n">
        <x:v>456</x:v>
      </x:c>
      <x:c r="E23" s="1" t="n">
        <x:v>687</x:v>
      </x:c>
      <x:c r="F23" s="1" t="n">
        <x:v>296</x:v>
      </x:c>
      <x:c r="G23" s="1" t="n">
        <x:v>285</x:v>
      </x:c>
      <x:c r="H23" s="1" t="n">
        <x:v>252</x:v>
      </x:c>
      <x:c r="I23" s="1" t="n">
        <x:v>633</x:v>
      </x:c>
      <x:c r="J23" s="1" t="n">
        <x:v>463</x:v>
      </x:c>
      <x:c r="K23" s="1" t="n">
        <x:v>142</x:v>
      </x:c>
      <x:c r="L23" s="1" t="n">
        <x:v>303</x:v>
      </x:c>
      <x:c r="M23" s="1" t="n">
        <x:v>732</x:v>
      </x:c>
      <x:c r="N23" s="1" t="n">
        <x:v>672</x:v>
      </x:c>
      <x:c r="O23" s="1" t="n">
        <x:v>171</x:v>
      </x:c>
      <x:c r="P23" s="1" t="n">
        <x:v>465</x:v>
      </x:c>
      <x:c r="Q23" s="1" t="n">
        <x:v>371</x:v>
      </x:c>
      <x:c r="R23" s="1" t="n">
        <x:v>770</x:v>
      </x:c>
      <x:c r="S23" s="1" t="n">
        <x:v>306</x:v>
      </x:c>
      <x:c r="T23" s="1" t="n">
        <x:v>747</x:v>
      </x:c>
      <x:c r="U23" s="1" t="n">
        <x:v>0</x:v>
      </x:c>
    </x:row>
    <x:row r="24" ht="21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</x:row>
  </x:sheetData>
  <x:pageMargins left="0.7" right="0.7" top="0.75" bottom="0.75" header="0.3" footer="0.3"/>
</x:worksheet>
</file>