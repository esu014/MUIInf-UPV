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409913CC-D831-414D-BD4B-D7BE5E2A00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ta" sheetId="1" r:id="rId1"/>
    <sheet name="Distancias" sheetId="2" r:id="rId2"/>
  </sheets>
  <definedNames>
    <definedName name="solver_adj" localSheetId="0" hidden="1">Ruta!$B$4:$B$23</definedName>
    <definedName name="solver_cvg" localSheetId="0" hidden="1">0.0001</definedName>
    <definedName name="solver_eng" localSheetId="0" hidden="1">3</definedName>
    <definedName name="solver_lhs1" localSheetId="0" hidden="1">Ruta!$B$4:$B$23</definedName>
    <definedName name="solver_lhs2" localSheetId="0" hidden="1">Ruta!$B$4:$B$23</definedName>
    <definedName name="solver_lhs3" localSheetId="0" hidden="1">Ruta!$B$4:$B$23</definedName>
    <definedName name="solver_mni" localSheetId="0" hidden="1">10</definedName>
    <definedName name="solver_mrt" localSheetId="0" hidden="1">0.075</definedName>
    <definedName name="solver_msl" localSheetId="0" hidden="1">0</definedName>
    <definedName name="solver_neg" localSheetId="0" hidden="1">0</definedName>
    <definedName name="solver_num" localSheetId="0" hidden="1">3</definedName>
    <definedName name="solver_opt" localSheetId="0" hidden="1">"$C32$"</definedName>
    <definedName name="solver_pre" localSheetId="0" hidden="1">0.000001</definedName>
    <definedName name="solver_rbv" localSheetId="0" hidden="1">1</definedName>
    <definedName name="solver_rel1" localSheetId="0" hidden="1">6</definedName>
    <definedName name="solver_rel2" localSheetId="0" hidden="1">3</definedName>
    <definedName name="solver_rel3" localSheetId="0" hidden="1">1</definedName>
    <definedName name="solver_rhs2" localSheetId="0" hidden="1">1</definedName>
    <definedName name="solver_rhs3" localSheetId="0" hidden="1">20</definedName>
    <definedName name="solver_rlx" localSheetId="0" hidden="1">0</definedName>
    <definedName name="solver_rxc2" localSheetId="0" hidden="1">1</definedName>
    <definedName name="solver_rxc3" localSheetId="0" hidden="1">1</definedName>
    <definedName name="solver_rxv" localSheetId="0" hidden="1">1</definedName>
    <definedName name="solver_scl" localSheetId="0" hidden="1">0</definedName>
    <definedName name="solver_ssz" localSheetId="0" hidden="1">100</definedName>
    <definedName name="solver_tol" localSheetId="0" hidden="1">0</definedName>
    <definedName name="solver_typ" localSheetId="0" hidden="1">2</definedName>
    <definedName name="solver_val" localSheetId="0" hidden="1">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7" i="1" l="1"/>
  <c r="AC36" i="1"/>
  <c r="AC35" i="1"/>
  <c r="AC34" i="1"/>
  <c r="AC33" i="1"/>
  <c r="AC32" i="1"/>
  <c r="AC31" i="1"/>
  <c r="AC30" i="1"/>
  <c r="AC29" i="1"/>
  <c r="AC28" i="1"/>
  <c r="AC27" i="1"/>
  <c r="C27" i="1"/>
  <c r="AC26" i="1"/>
  <c r="C25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F4" i="1" l="1"/>
  <c r="E4" i="1"/>
  <c r="F5" i="1"/>
  <c r="E5" i="1"/>
  <c r="F6" i="1"/>
  <c r="E6" i="1"/>
  <c r="F7" i="1"/>
  <c r="E7" i="1"/>
  <c r="F8" i="1"/>
  <c r="E8" i="1"/>
  <c r="F9" i="1"/>
  <c r="E9" i="1"/>
  <c r="F10" i="1"/>
  <c r="E10" i="1"/>
  <c r="F11" i="1"/>
  <c r="E11" i="1"/>
  <c r="F12" i="1"/>
  <c r="E12" i="1"/>
  <c r="F13" i="1"/>
  <c r="E13" i="1"/>
  <c r="F14" i="1"/>
  <c r="E14" i="1"/>
  <c r="F15" i="1"/>
  <c r="E15" i="1"/>
  <c r="F16" i="1"/>
  <c r="E16" i="1"/>
  <c r="F17" i="1"/>
  <c r="E17" i="1"/>
  <c r="F18" i="1"/>
  <c r="E18" i="1"/>
  <c r="F19" i="1"/>
  <c r="E19" i="1"/>
  <c r="F20" i="1"/>
  <c r="E20" i="1"/>
  <c r="F21" i="1"/>
  <c r="E21" i="1"/>
  <c r="F22" i="1"/>
  <c r="E22" i="1"/>
  <c r="F23" i="1"/>
  <c r="E23" i="1"/>
  <c r="C32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<sst xmlns="http://schemas.openxmlformats.org/spreadsheetml/2006/main" count="55" uniqueCount="34">
  <si>
    <t>TSP: modelo para Evolutionary</t>
  </si>
  <si>
    <t>Paso</t>
  </si>
  <si>
    <t>ID ciudad</t>
  </si>
  <si>
    <t>Ciudad</t>
  </si>
  <si>
    <t>ID destino</t>
  </si>
  <si>
    <t>Destino</t>
  </si>
  <si>
    <t>Tramo (km)</t>
  </si>
  <si>
    <t>Acumulado (km)</t>
  </si>
  <si>
    <t>Repeticiones</t>
  </si>
  <si>
    <t>ID</t>
  </si>
  <si>
    <t>Veces</t>
  </si>
  <si>
    <t>Fuera de rango</t>
  </si>
  <si>
    <t>Total (km)</t>
  </si>
  <si>
    <t>Fuente: Práctica TSP Logística y Servicios.pdf, p. 1. Distancias en km.</t>
  </si>
  <si>
    <t>A Coruña</t>
  </si>
  <si>
    <t>Albacete</t>
  </si>
  <si>
    <t>Alicante</t>
  </si>
  <si>
    <t>Badajoz</t>
  </si>
  <si>
    <t>Barcelona</t>
  </si>
  <si>
    <t>Burgos</t>
  </si>
  <si>
    <t>Castellón</t>
  </si>
  <si>
    <t>Córdoba</t>
  </si>
  <si>
    <t>León</t>
  </si>
  <si>
    <t>Lleida</t>
  </si>
  <si>
    <t>Madrid</t>
  </si>
  <si>
    <t>Málaga</t>
  </si>
  <si>
    <t>Ourense</t>
  </si>
  <si>
    <t>Pamplona</t>
  </si>
  <si>
    <t>Salamanca</t>
  </si>
  <si>
    <t>Santander</t>
  </si>
  <si>
    <t>Sevilla</t>
  </si>
  <si>
    <t>Valencia</t>
  </si>
  <si>
    <t>Vigo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</si>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</sst>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949F3B-F457-4C52-AAA2-8DFA6662FF4A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923179277258343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topLeftCell="A9" workbookViewId="0">
      <selection activeCell="J18" sqref="J18"/>
    </sheetView>
  </sheetViews>
  <sheetFormatPr defaultRowHeight="15"/>
  <cols>
    <col min="1" max="2" width="12" customWidth="1"/>
    <col min="3" max="3" width="19" customWidth="1"/>
    <col min="4" max="4" width="12" customWidth="1"/>
    <col min="5" max="5" width="19" customWidth="1"/>
    <col min="6" max="7" width="12" customWidth="1"/>
  </cols>
  <sheetData>
    <row r="1" spans="1:7" ht="21" customHeight="1">
      <c r="A1" s="2" t="s">
        <v>0</v>
      </c>
      <c r="B1" s="1"/>
      <c r="C1" s="1"/>
      <c r="D1" s="1"/>
      <c r="E1" s="1"/>
      <c r="F1" s="1"/>
      <c r="G1" s="1"/>
    </row>
    <row r="2" spans="1:7" ht="21" customHeight="1">
      <c r="A2" s="1"/>
      <c r="B2" s="1"/>
      <c r="C2" s="1"/>
      <c r="D2" s="1"/>
      <c r="E2" s="1"/>
      <c r="F2" s="1"/>
      <c r="G2" s="1"/>
    </row>
    <row r="3" spans="1:7" ht="32.1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21" customHeight="1">
      <c r="A4" s="1">
        <v>1</v>
      </c>
      <c r="B4" s="1">
        <v>15</v>
      </c>
      <c r="C4" s="1" t="str">
        <f>INDEX(Distancias!$A$4:$A$23,B4)</f>
        <v>Salamanca</v>
      </c>
      <c r="D4" s="1">
        <f>B5</f>
        <v>9</v>
      </c>
      <c r="E4" s="1" t="str">
        <f>INDEX(Distancias!$A$4:$A$23,D4)</f>
        <v>León</v>
      </c>
      <c r="F4" s="1">
        <f>INDEX(Distancias!$B$4:$U$23,B4,D4)</f>
        <v>194</v>
      </c>
      <c r="G4" s="1">
        <f>SUM($F$4:F4)</f>
        <v>194</v>
      </c>
    </row>
    <row r="5" spans="1:7" ht="21" customHeight="1">
      <c r="A5" s="1">
        <v>2</v>
      </c>
      <c r="B5" s="1">
        <v>9</v>
      </c>
      <c r="C5" s="1" t="str">
        <f>INDEX(Distancias!$A$4:$A$23,B5)</f>
        <v>León</v>
      </c>
      <c r="D5" s="1">
        <f>B6</f>
        <v>1</v>
      </c>
      <c r="E5" s="1" t="str">
        <f>INDEX(Distancias!$A$4:$A$23,D5)</f>
        <v>A Coruña</v>
      </c>
      <c r="F5" s="1">
        <f>INDEX(Distancias!$B$4:$U$23,B5,D5)</f>
        <v>286</v>
      </c>
      <c r="G5" s="1">
        <f>SUM($F$4:F5)</f>
        <v>480</v>
      </c>
    </row>
    <row r="6" spans="1:7" ht="21" customHeight="1">
      <c r="A6" s="1">
        <v>3</v>
      </c>
      <c r="B6" s="1">
        <v>1</v>
      </c>
      <c r="C6" s="1" t="str">
        <f>INDEX(Distancias!$A$4:$A$23,B6)</f>
        <v>A Coruña</v>
      </c>
      <c r="D6" s="1">
        <f>B7</f>
        <v>13</v>
      </c>
      <c r="E6" s="1" t="str">
        <f>INDEX(Distancias!$A$4:$A$23,D6)</f>
        <v>Ourense</v>
      </c>
      <c r="F6" s="1">
        <f>INDEX(Distancias!$B$4:$U$23,B6,D6)</f>
        <v>144</v>
      </c>
      <c r="G6" s="1">
        <f>SUM($F$4:F6)</f>
        <v>624</v>
      </c>
    </row>
    <row r="7" spans="1:7" ht="21" customHeight="1">
      <c r="A7" s="1">
        <v>4</v>
      </c>
      <c r="B7" s="1">
        <v>13</v>
      </c>
      <c r="C7" s="1" t="str">
        <f>INDEX(Distancias!$A$4:$A$23,B7)</f>
        <v>Ourense</v>
      </c>
      <c r="D7" s="1">
        <f>B8</f>
        <v>19</v>
      </c>
      <c r="E7" s="1" t="str">
        <f>INDEX(Distancias!$A$4:$A$23,D7)</f>
        <v>Vigo</v>
      </c>
      <c r="F7" s="1">
        <f>INDEX(Distancias!$B$4:$U$23,B7,D7)</f>
        <v>87</v>
      </c>
      <c r="G7" s="1">
        <f>SUM($F$4:F7)</f>
        <v>711</v>
      </c>
    </row>
    <row r="8" spans="1:7" ht="21" customHeight="1">
      <c r="A8" s="1">
        <v>5</v>
      </c>
      <c r="B8" s="1">
        <v>19</v>
      </c>
      <c r="C8" s="1" t="str">
        <f>INDEX(Distancias!$A$4:$A$23,B8)</f>
        <v>Vigo</v>
      </c>
      <c r="D8" s="1">
        <f>B9</f>
        <v>4</v>
      </c>
      <c r="E8" s="1" t="str">
        <f>INDEX(Distancias!$A$4:$A$23,D8)</f>
        <v>Badajoz</v>
      </c>
      <c r="F8" s="1">
        <f>INDEX(Distancias!$B$4:$U$23,B8,D8)</f>
        <v>478</v>
      </c>
      <c r="G8" s="1">
        <f>SUM($F$4:F8)</f>
        <v>1189</v>
      </c>
    </row>
    <row r="9" spans="1:7" ht="21" customHeight="1">
      <c r="A9" s="1">
        <v>6</v>
      </c>
      <c r="B9" s="1">
        <v>4</v>
      </c>
      <c r="C9" s="1" t="str">
        <f>INDEX(Distancias!$A$4:$A$23,B9)</f>
        <v>Badajoz</v>
      </c>
      <c r="D9" s="1">
        <f>B10</f>
        <v>17</v>
      </c>
      <c r="E9" s="1" t="str">
        <f>INDEX(Distancias!$A$4:$A$23,D9)</f>
        <v>Sevilla</v>
      </c>
      <c r="F9" s="1">
        <f>INDEX(Distancias!$B$4:$U$23,B9,D9)</f>
        <v>207</v>
      </c>
      <c r="G9" s="1">
        <f>SUM($F$4:F9)</f>
        <v>1396</v>
      </c>
    </row>
    <row r="10" spans="1:7" ht="21" customHeight="1">
      <c r="A10" s="1">
        <v>7</v>
      </c>
      <c r="B10" s="1">
        <v>17</v>
      </c>
      <c r="C10" s="1" t="str">
        <f>INDEX(Distancias!$A$4:$A$23,B10)</f>
        <v>Sevilla</v>
      </c>
      <c r="D10" s="1">
        <f>B11</f>
        <v>12</v>
      </c>
      <c r="E10" s="1" t="str">
        <f>INDEX(Distancias!$A$4:$A$23,D10)</f>
        <v>Málaga</v>
      </c>
      <c r="F10" s="1">
        <f>INDEX(Distancias!$B$4:$U$23,B10,D10)</f>
        <v>191</v>
      </c>
      <c r="G10" s="1">
        <f>SUM($F$4:F10)</f>
        <v>1587</v>
      </c>
    </row>
    <row r="11" spans="1:7" ht="21" customHeight="1">
      <c r="A11" s="1">
        <v>8</v>
      </c>
      <c r="B11" s="1">
        <v>12</v>
      </c>
      <c r="C11" s="1" t="str">
        <f>INDEX(Distancias!$A$4:$A$23,B11)</f>
        <v>Málaga</v>
      </c>
      <c r="D11" s="1">
        <f>B12</f>
        <v>8</v>
      </c>
      <c r="E11" s="1" t="str">
        <f>INDEX(Distancias!$A$4:$A$23,D11)</f>
        <v>Córdoba</v>
      </c>
      <c r="F11" s="1">
        <f>INDEX(Distancias!$B$4:$U$23,B11,D11)</f>
        <v>155</v>
      </c>
      <c r="G11" s="1">
        <f>SUM($F$4:F11)</f>
        <v>1742</v>
      </c>
    </row>
    <row r="12" spans="1:7" ht="21" customHeight="1">
      <c r="A12" s="1">
        <v>9</v>
      </c>
      <c r="B12" s="1">
        <v>8</v>
      </c>
      <c r="C12" s="1" t="str">
        <f>INDEX(Distancias!$A$4:$A$23,B12)</f>
        <v>Córdoba</v>
      </c>
      <c r="D12" s="1">
        <f>B13</f>
        <v>2</v>
      </c>
      <c r="E12" s="1" t="str">
        <f>INDEX(Distancias!$A$4:$A$23,D12)</f>
        <v>Albacete</v>
      </c>
      <c r="F12" s="1">
        <f>INDEX(Distancias!$B$4:$U$23,B12,D12)</f>
        <v>324</v>
      </c>
      <c r="G12" s="1">
        <f>SUM($F$4:F12)</f>
        <v>2066</v>
      </c>
    </row>
    <row r="13" spans="1:7" ht="21" customHeight="1">
      <c r="A13" s="1">
        <v>10</v>
      </c>
      <c r="B13" s="1">
        <v>2</v>
      </c>
      <c r="C13" s="1" t="str">
        <f>INDEX(Distancias!$A$4:$A$23,B13)</f>
        <v>Albacete</v>
      </c>
      <c r="D13" s="1">
        <f>B14</f>
        <v>3</v>
      </c>
      <c r="E13" s="1" t="str">
        <f>INDEX(Distancias!$A$4:$A$23,D13)</f>
        <v>Alicante</v>
      </c>
      <c r="F13" s="1">
        <f>INDEX(Distancias!$B$4:$U$23,B13,D13)</f>
        <v>163</v>
      </c>
      <c r="G13" s="1">
        <f>SUM($F$4:F13)</f>
        <v>2229</v>
      </c>
    </row>
    <row r="14" spans="1:7" ht="21" customHeight="1">
      <c r="A14" s="1">
        <v>11</v>
      </c>
      <c r="B14" s="1">
        <v>3</v>
      </c>
      <c r="C14" s="1" t="str">
        <f>INDEX(Distancias!$A$4:$A$23,B14)</f>
        <v>Alicante</v>
      </c>
      <c r="D14" s="1">
        <f>B15</f>
        <v>18</v>
      </c>
      <c r="E14" s="1" t="str">
        <f>INDEX(Distancias!$A$4:$A$23,D14)</f>
        <v>Valencia</v>
      </c>
      <c r="F14" s="1">
        <f>INDEX(Distancias!$B$4:$U$23,B14,D14)</f>
        <v>158</v>
      </c>
      <c r="G14" s="1">
        <f>SUM($F$4:F14)</f>
        <v>2387</v>
      </c>
    </row>
    <row r="15" spans="1:7" ht="21" customHeight="1">
      <c r="A15" s="1">
        <v>12</v>
      </c>
      <c r="B15" s="1">
        <v>18</v>
      </c>
      <c r="C15" s="1" t="str">
        <f>INDEX(Distancias!$A$4:$A$23,B15)</f>
        <v>Valencia</v>
      </c>
      <c r="D15" s="1">
        <f>B16</f>
        <v>7</v>
      </c>
      <c r="E15" s="1" t="str">
        <f>INDEX(Distancias!$A$4:$A$23,D15)</f>
        <v>Castellón</v>
      </c>
      <c r="F15" s="1">
        <f>INDEX(Distancias!$B$4:$U$23,B15,D15)</f>
        <v>67</v>
      </c>
      <c r="G15" s="1">
        <f>SUM($F$4:F15)</f>
        <v>2454</v>
      </c>
    </row>
    <row r="16" spans="1:7" ht="21" customHeight="1">
      <c r="A16" s="1">
        <v>13</v>
      </c>
      <c r="B16" s="1">
        <v>7</v>
      </c>
      <c r="C16" s="1" t="str">
        <f>INDEX(Distancias!$A$4:$A$23,B16)</f>
        <v>Castellón</v>
      </c>
      <c r="D16" s="1">
        <f>B17</f>
        <v>5</v>
      </c>
      <c r="E16" s="1" t="str">
        <f>INDEX(Distancias!$A$4:$A$23,D16)</f>
        <v>Barcelona</v>
      </c>
      <c r="F16" s="1">
        <f>INDEX(Distancias!$B$4:$U$23,B16,D16)</f>
        <v>269</v>
      </c>
      <c r="G16" s="1">
        <f>SUM($F$4:F16)</f>
        <v>2723</v>
      </c>
    </row>
    <row r="17" spans="1:29" ht="21" customHeight="1">
      <c r="A17" s="1">
        <v>14</v>
      </c>
      <c r="B17" s="1">
        <v>5</v>
      </c>
      <c r="C17" s="1" t="str">
        <f>INDEX(Distancias!$A$4:$A$23,B17)</f>
        <v>Barcelona</v>
      </c>
      <c r="D17" s="1">
        <f>B18</f>
        <v>10</v>
      </c>
      <c r="E17" s="1" t="str">
        <f>INDEX(Distancias!$A$4:$A$23,D17)</f>
        <v>Lleida</v>
      </c>
      <c r="F17" s="1">
        <f>INDEX(Distancias!$B$4:$U$23,B17,D17)</f>
        <v>155</v>
      </c>
      <c r="G17" s="1">
        <f>SUM($F$4:F17)</f>
        <v>2878</v>
      </c>
    </row>
    <row r="18" spans="1:29" ht="21" customHeight="1">
      <c r="A18" s="1">
        <v>15</v>
      </c>
      <c r="B18" s="1">
        <v>10</v>
      </c>
      <c r="C18" s="1" t="str">
        <f>INDEX(Distancias!$A$4:$A$23,B18)</f>
        <v>Lleida</v>
      </c>
      <c r="D18" s="1">
        <f>B19</f>
        <v>20</v>
      </c>
      <c r="E18" s="1" t="str">
        <f>INDEX(Distancias!$A$4:$A$23,D18)</f>
        <v>Zaragoza</v>
      </c>
      <c r="F18" s="1">
        <f>INDEX(Distancias!$B$4:$U$23,B18,D18)</f>
        <v>142</v>
      </c>
      <c r="G18" s="1">
        <f>SUM($F$4:F18)</f>
        <v>3020</v>
      </c>
    </row>
    <row r="19" spans="1:29" ht="21" customHeight="1">
      <c r="A19" s="1">
        <v>16</v>
      </c>
      <c r="B19" s="1">
        <v>20</v>
      </c>
      <c r="C19" s="1" t="str">
        <f>INDEX(Distancias!$A$4:$A$23,B19)</f>
        <v>Zaragoza</v>
      </c>
      <c r="D19" s="1">
        <f>B20</f>
        <v>14</v>
      </c>
      <c r="E19" s="1" t="str">
        <f>INDEX(Distancias!$A$4:$A$23,D19)</f>
        <v>Pamplona</v>
      </c>
      <c r="F19" s="1">
        <f>INDEX(Distancias!$B$4:$U$23,B19,D19)</f>
        <v>171</v>
      </c>
      <c r="G19" s="1">
        <f>SUM($F$4:F19)</f>
        <v>3191</v>
      </c>
    </row>
    <row r="20" spans="1:29" ht="21" customHeight="1">
      <c r="A20" s="1">
        <v>17</v>
      </c>
      <c r="B20" s="1">
        <v>14</v>
      </c>
      <c r="C20" s="1" t="str">
        <f>INDEX(Distancias!$A$4:$A$23,B20)</f>
        <v>Pamplona</v>
      </c>
      <c r="D20" s="1">
        <f>B21</f>
        <v>16</v>
      </c>
      <c r="E20" s="1" t="str">
        <f>INDEX(Distancias!$A$4:$A$23,D20)</f>
        <v>Santander</v>
      </c>
      <c r="F20" s="1">
        <f>INDEX(Distancias!$B$4:$U$23,B20,D20)</f>
        <v>229</v>
      </c>
      <c r="G20" s="1">
        <f>SUM($F$4:F20)</f>
        <v>3420</v>
      </c>
    </row>
    <row r="21" spans="1:29" ht="21" customHeight="1">
      <c r="A21" s="1">
        <v>18</v>
      </c>
      <c r="B21" s="1">
        <v>16</v>
      </c>
      <c r="C21" s="1" t="str">
        <f>INDEX(Distancias!$A$4:$A$23,B21)</f>
        <v>Santander</v>
      </c>
      <c r="D21" s="1">
        <f>B22</f>
        <v>6</v>
      </c>
      <c r="E21" s="1" t="str">
        <f>INDEX(Distancias!$A$4:$A$23,D21)</f>
        <v>Burgos</v>
      </c>
      <c r="F21" s="1">
        <f>INDEX(Distancias!$B$4:$U$23,B21,D21)</f>
        <v>147</v>
      </c>
      <c r="G21" s="1">
        <f>SUM($F$4:F21)</f>
        <v>3567</v>
      </c>
    </row>
    <row r="22" spans="1:29" ht="21" customHeight="1">
      <c r="A22" s="1">
        <v>19</v>
      </c>
      <c r="B22" s="1">
        <v>6</v>
      </c>
      <c r="C22" s="1" t="str">
        <f>INDEX(Distancias!$A$4:$A$23,B22)</f>
        <v>Burgos</v>
      </c>
      <c r="D22" s="1">
        <f>B23</f>
        <v>11</v>
      </c>
      <c r="E22" s="1" t="str">
        <f>INDEX(Distancias!$A$4:$A$23,D22)</f>
        <v>Madrid</v>
      </c>
      <c r="F22" s="1">
        <f>INDEX(Distancias!$B$4:$U$23,B22,D22)</f>
        <v>231</v>
      </c>
      <c r="G22" s="1">
        <f>SUM($F$4:F22)</f>
        <v>3798</v>
      </c>
    </row>
    <row r="23" spans="1:29" ht="21" customHeight="1">
      <c r="A23" s="1">
        <v>20</v>
      </c>
      <c r="B23" s="1">
        <v>11</v>
      </c>
      <c r="C23" s="1" t="str">
        <f>INDEX(Distancias!$A$4:$A$23,B23)</f>
        <v>Madrid</v>
      </c>
      <c r="D23" s="1">
        <f>B4</f>
        <v>15</v>
      </c>
      <c r="E23" s="1" t="str">
        <f>INDEX(Distancias!$A$4:$A$23,D23)</f>
        <v>Salamanca</v>
      </c>
      <c r="F23" s="1">
        <f>INDEX(Distancias!$B$4:$U$23,B23,D23)</f>
        <v>200</v>
      </c>
      <c r="G23" s="1">
        <f>SUM($F$4:F23)</f>
        <v>3998</v>
      </c>
    </row>
    <row r="24" spans="1:29" ht="21" customHeight="1">
      <c r="A24" s="1"/>
      <c r="B24" s="1"/>
      <c r="C24" s="1"/>
      <c r="D24" s="1"/>
      <c r="E24" s="1"/>
      <c r="F24" s="1"/>
      <c r="G24" s="1"/>
    </row>
    <row r="25" spans="1:29" ht="21" customHeight="1">
      <c r="A25" s="1" t="s">
        <v>8</v>
      </c>
      <c r="B25" s="1"/>
      <c r="C25" s="1">
        <f>COUNTIF(AC26:AC37,"&lt;&gt;1")</f>
        <v>0</v>
      </c>
      <c r="D25" s="1"/>
      <c r="E25" s="1"/>
      <c r="F25" s="1"/>
      <c r="G25" s="1"/>
      <c r="AB25" t="s">
        <v>9</v>
      </c>
      <c r="AC25" t="s">
        <v>10</v>
      </c>
    </row>
    <row r="26" spans="1:29" ht="21" customHeight="1">
      <c r="A26" s="1"/>
      <c r="B26" s="1"/>
      <c r="C26" s="1"/>
      <c r="D26" s="1"/>
      <c r="E26" s="1"/>
      <c r="F26" s="1"/>
      <c r="G26" s="1"/>
      <c r="AB26">
        <v>1</v>
      </c>
      <c r="AC26">
        <f>COUNTIF($B$4:$B$23,AB26)</f>
        <v>1</v>
      </c>
    </row>
    <row r="27" spans="1:29" ht="21" customHeight="1">
      <c r="A27" s="1" t="s">
        <v>11</v>
      </c>
      <c r="B27" s="1"/>
      <c r="C27" s="1">
        <f>COUNTIF(B4:B23,"&lt;1")+COUNTIF(B4:B23,"&gt;20")</f>
        <v>0</v>
      </c>
      <c r="D27" s="1"/>
      <c r="E27" s="1"/>
      <c r="F27" s="1"/>
      <c r="G27" s="1"/>
      <c r="AB27">
        <v>2</v>
      </c>
      <c r="AC27">
        <f>COUNTIF($B$4:$B$23,AB27)</f>
        <v>1</v>
      </c>
    </row>
    <row r="28" spans="1:29" ht="21" customHeight="1">
      <c r="A28" s="1"/>
      <c r="B28" s="1"/>
      <c r="C28" s="1"/>
      <c r="D28" s="1"/>
      <c r="E28" s="1"/>
      <c r="F28" s="1"/>
      <c r="G28" s="1"/>
      <c r="AB28">
        <v>3</v>
      </c>
      <c r="AC28">
        <f>COUNTIF($B$4:$B$23,AB28)</f>
        <v>1</v>
      </c>
    </row>
    <row r="29" spans="1:29" ht="21" customHeight="1">
      <c r="A29" s="1"/>
      <c r="B29" s="1"/>
      <c r="C29" s="1"/>
      <c r="D29" s="1"/>
      <c r="E29" s="1"/>
      <c r="F29" s="1"/>
      <c r="G29" s="1"/>
      <c r="AB29">
        <v>12</v>
      </c>
      <c r="AC29">
        <f>COUNTIF($B$4:$B$23,AB29)</f>
        <v>1</v>
      </c>
    </row>
    <row r="30" spans="1:29" ht="21" customHeight="1">
      <c r="A30" s="1"/>
      <c r="B30" s="1"/>
      <c r="C30" s="1"/>
      <c r="D30" s="1"/>
      <c r="E30" s="1"/>
      <c r="F30" s="1"/>
      <c r="G30" s="1"/>
      <c r="AB30">
        <v>13</v>
      </c>
      <c r="AC30">
        <f>COUNTIF($B$4:$B$23,AB30)</f>
        <v>1</v>
      </c>
    </row>
    <row r="31" spans="1:29" ht="21" customHeight="1">
      <c r="A31" s="1"/>
      <c r="B31" s="1"/>
      <c r="C31" s="1"/>
      <c r="D31" s="1"/>
      <c r="E31" s="1"/>
      <c r="F31" s="1"/>
      <c r="G31" s="1"/>
      <c r="AB31">
        <v>14</v>
      </c>
      <c r="AC31">
        <f>COUNTIF($B$4:$B$23,AB31)</f>
        <v>1</v>
      </c>
    </row>
    <row r="32" spans="1:29" ht="21" customHeight="1">
      <c r="A32" s="2" t="s">
        <v>12</v>
      </c>
      <c r="B32" s="2"/>
      <c r="C32" s="2">
        <f>SUM(F4:F23)</f>
        <v>3998</v>
      </c>
      <c r="D32" s="1"/>
      <c r="E32" s="1"/>
      <c r="F32" s="1"/>
      <c r="G32" s="1"/>
      <c r="AB32">
        <v>15</v>
      </c>
      <c r="AC32">
        <f>COUNTIF($B$4:$B$23,AB32)</f>
        <v>1</v>
      </c>
    </row>
    <row r="33" spans="1:29" ht="21" customHeight="1">
      <c r="A33" s="1"/>
      <c r="B33" s="1"/>
      <c r="C33" s="1"/>
      <c r="D33" s="1"/>
      <c r="E33" s="1"/>
      <c r="F33" s="1"/>
      <c r="G33" s="1"/>
      <c r="AB33">
        <v>16</v>
      </c>
      <c r="AC33">
        <f>COUNTIF($B$4:$B$23,AB33)</f>
        <v>1</v>
      </c>
    </row>
    <row r="34" spans="1:29" ht="21" customHeight="1">
      <c r="A34" s="1"/>
      <c r="B34" s="1"/>
      <c r="C34" s="1"/>
      <c r="D34" s="1"/>
      <c r="E34" s="1"/>
      <c r="F34" s="1"/>
      <c r="G34" s="1"/>
      <c r="AB34">
        <v>17</v>
      </c>
      <c r="AC34">
        <f>COUNTIF($B$4:$B$23,AB34)</f>
        <v>1</v>
      </c>
    </row>
    <row r="35" spans="1:29" ht="21" customHeight="1">
      <c r="A35" s="1"/>
      <c r="B35" s="1"/>
      <c r="C35" s="1"/>
      <c r="D35" s="1"/>
      <c r="E35" s="1"/>
      <c r="F35" s="1"/>
      <c r="G35" s="1"/>
      <c r="AB35">
        <v>18</v>
      </c>
      <c r="AC35">
        <f>COUNTIF($B$4:$B$23,AB35)</f>
        <v>1</v>
      </c>
    </row>
    <row r="36" spans="1:29" ht="21" customHeight="1">
      <c r="A36" s="1"/>
      <c r="B36" s="1"/>
      <c r="C36" s="1"/>
      <c r="D36" s="1"/>
      <c r="E36" s="1"/>
      <c r="F36" s="1"/>
      <c r="G36" s="1"/>
      <c r="AB36">
        <v>19</v>
      </c>
      <c r="AC36">
        <f>COUNTIF($B$4:$B$23,AB36)</f>
        <v>1</v>
      </c>
    </row>
    <row r="37" spans="1:29">
      <c r="AB37">
        <v>20</v>
      </c>
      <c r="AC37">
        <f>COUNTIF($B$4:$B$23,AB37)</f>
        <v>1</v>
      </c>
    </row>
    <row r="38" spans="1:29" ht="14.25"/>
    <row r="39" spans="1:29" ht="14.25"/>
    <row r="40" spans="1:29" ht="14.25"/>
    <row r="41" spans="1:29" ht="14.25"/>
    <row r="42" spans="1:29" ht="14.25"/>
    <row r="43" spans="1:29" ht="14.25"/>
    <row r="44" spans="1:29" ht="14.25"/>
    <row r="45" spans="1:29" ht="14.25"/>
  </sheetData>
  <dataValidations count="1">
    <dataValidation type="whole" sqref="B4:B23" xr:uid="{00000000-0002-0000-0000-000000000000}">
      <formula1>1</formula1>
      <formula2>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9" customWidth="1"/>
    <col min="2" max="21" width="13" customWidth="1"/>
  </cols>
  <sheetData>
    <row r="1" spans="1:21" ht="21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8.1" customHeight="1">
      <c r="A3" s="3" t="s">
        <v>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</row>
    <row r="4" spans="1:21" ht="21" customHeight="1">
      <c r="A4" s="1" t="s">
        <v>14</v>
      </c>
      <c r="B4" s="1">
        <v>0</v>
      </c>
      <c r="C4" s="1">
        <v>806</v>
      </c>
      <c r="D4" s="1">
        <v>969</v>
      </c>
      <c r="E4" s="1">
        <v>615</v>
      </c>
      <c r="F4" s="1">
        <v>1029</v>
      </c>
      <c r="G4" s="1">
        <v>461</v>
      </c>
      <c r="H4" s="1">
        <v>896</v>
      </c>
      <c r="I4" s="1">
        <v>823</v>
      </c>
      <c r="J4" s="1">
        <v>286</v>
      </c>
      <c r="K4" s="1">
        <v>876</v>
      </c>
      <c r="L4" s="1">
        <v>564</v>
      </c>
      <c r="M4" s="1">
        <v>971</v>
      </c>
      <c r="N4" s="1">
        <v>144</v>
      </c>
      <c r="O4" s="1">
        <v>657</v>
      </c>
      <c r="P4" s="1">
        <v>426</v>
      </c>
      <c r="Q4" s="1">
        <v>435</v>
      </c>
      <c r="R4" s="1">
        <v>825</v>
      </c>
      <c r="S4" s="1">
        <v>908</v>
      </c>
      <c r="T4" s="1">
        <v>141</v>
      </c>
      <c r="U4" s="1">
        <v>737</v>
      </c>
    </row>
    <row r="5" spans="1:21" ht="21" customHeight="1">
      <c r="A5" s="1" t="s">
        <v>15</v>
      </c>
      <c r="B5" s="1">
        <v>806</v>
      </c>
      <c r="C5" s="1">
        <v>0</v>
      </c>
      <c r="D5" s="1">
        <v>163</v>
      </c>
      <c r="E5" s="1">
        <v>504</v>
      </c>
      <c r="F5" s="1">
        <v>497</v>
      </c>
      <c r="G5" s="1">
        <v>461</v>
      </c>
      <c r="H5" s="1">
        <v>228</v>
      </c>
      <c r="I5" s="1">
        <v>324</v>
      </c>
      <c r="J5" s="1">
        <v>562</v>
      </c>
      <c r="K5" s="1">
        <v>451</v>
      </c>
      <c r="L5" s="1">
        <v>240</v>
      </c>
      <c r="M5" s="1">
        <v>416</v>
      </c>
      <c r="N5" s="1">
        <v>722</v>
      </c>
      <c r="O5" s="1">
        <v>519</v>
      </c>
      <c r="P5" s="1">
        <v>438</v>
      </c>
      <c r="Q5" s="1">
        <v>610</v>
      </c>
      <c r="R5" s="1">
        <v>460</v>
      </c>
      <c r="S5" s="1">
        <v>167</v>
      </c>
      <c r="T5" s="1">
        <v>796</v>
      </c>
      <c r="U5" s="1">
        <v>379</v>
      </c>
    </row>
    <row r="6" spans="1:21" ht="21" customHeight="1">
      <c r="A6" s="1" t="s">
        <v>16</v>
      </c>
      <c r="B6" s="1">
        <v>969</v>
      </c>
      <c r="C6" s="1">
        <v>163</v>
      </c>
      <c r="D6" s="1">
        <v>0</v>
      </c>
      <c r="E6" s="1">
        <v>651</v>
      </c>
      <c r="F6" s="1">
        <v>494</v>
      </c>
      <c r="G6" s="1">
        <v>624</v>
      </c>
      <c r="H6" s="1">
        <v>225</v>
      </c>
      <c r="I6" s="1">
        <v>442</v>
      </c>
      <c r="J6" s="1">
        <v>725</v>
      </c>
      <c r="K6" s="1">
        <v>455</v>
      </c>
      <c r="L6" s="1">
        <v>403</v>
      </c>
      <c r="M6" s="1">
        <v>452</v>
      </c>
      <c r="N6" s="1">
        <v>885</v>
      </c>
      <c r="O6" s="1">
        <v>601</v>
      </c>
      <c r="P6" s="1">
        <v>601</v>
      </c>
      <c r="Q6" s="1">
        <v>773</v>
      </c>
      <c r="R6" s="1">
        <v>569</v>
      </c>
      <c r="S6" s="1">
        <v>158</v>
      </c>
      <c r="T6" s="1">
        <v>959</v>
      </c>
      <c r="U6" s="1">
        <v>456</v>
      </c>
    </row>
    <row r="7" spans="1:21" ht="21" customHeight="1">
      <c r="A7" s="1" t="s">
        <v>17</v>
      </c>
      <c r="B7" s="1">
        <v>615</v>
      </c>
      <c r="C7" s="1">
        <v>504</v>
      </c>
      <c r="D7" s="1">
        <v>651</v>
      </c>
      <c r="E7" s="1">
        <v>0</v>
      </c>
      <c r="F7" s="1">
        <v>974</v>
      </c>
      <c r="G7" s="1">
        <v>528</v>
      </c>
      <c r="H7" s="1">
        <v>710</v>
      </c>
      <c r="I7" s="1">
        <v>256</v>
      </c>
      <c r="J7" s="1">
        <v>490</v>
      </c>
      <c r="K7" s="1">
        <v>830</v>
      </c>
      <c r="L7" s="1">
        <v>381</v>
      </c>
      <c r="M7" s="1">
        <v>369</v>
      </c>
      <c r="N7" s="1">
        <v>488</v>
      </c>
      <c r="O7" s="1">
        <v>727</v>
      </c>
      <c r="P7" s="1">
        <v>295</v>
      </c>
      <c r="Q7" s="1">
        <v>646</v>
      </c>
      <c r="R7" s="1">
        <v>207</v>
      </c>
      <c r="S7" s="1">
        <v>649</v>
      </c>
      <c r="T7" s="1">
        <v>478</v>
      </c>
      <c r="U7" s="1">
        <v>687</v>
      </c>
    </row>
    <row r="8" spans="1:21" ht="21" customHeight="1">
      <c r="A8" s="1" t="s">
        <v>18</v>
      </c>
      <c r="B8" s="1">
        <v>1029</v>
      </c>
      <c r="C8" s="1">
        <v>497</v>
      </c>
      <c r="D8" s="1">
        <v>494</v>
      </c>
      <c r="E8" s="1">
        <v>974</v>
      </c>
      <c r="F8" s="1">
        <v>0</v>
      </c>
      <c r="G8" s="1">
        <v>577</v>
      </c>
      <c r="H8" s="1">
        <v>269</v>
      </c>
      <c r="I8" s="1">
        <v>818</v>
      </c>
      <c r="J8" s="1">
        <v>755</v>
      </c>
      <c r="K8" s="1">
        <v>155</v>
      </c>
      <c r="L8" s="1">
        <v>590</v>
      </c>
      <c r="M8" s="1">
        <v>894</v>
      </c>
      <c r="N8" s="1">
        <v>964</v>
      </c>
      <c r="O8" s="1">
        <v>422</v>
      </c>
      <c r="P8" s="1">
        <v>757</v>
      </c>
      <c r="Q8" s="1">
        <v>651</v>
      </c>
      <c r="R8" s="1">
        <v>954</v>
      </c>
      <c r="S8" s="1">
        <v>336</v>
      </c>
      <c r="T8" s="1">
        <v>1039</v>
      </c>
      <c r="U8" s="1">
        <v>296</v>
      </c>
    </row>
    <row r="9" spans="1:21" ht="21" customHeight="1">
      <c r="A9" s="1" t="s">
        <v>19</v>
      </c>
      <c r="B9" s="1">
        <v>461</v>
      </c>
      <c r="C9" s="1">
        <v>461</v>
      </c>
      <c r="D9" s="1">
        <v>624</v>
      </c>
      <c r="E9" s="1">
        <v>528</v>
      </c>
      <c r="F9" s="1">
        <v>577</v>
      </c>
      <c r="G9" s="1">
        <v>0</v>
      </c>
      <c r="H9" s="1">
        <v>470</v>
      </c>
      <c r="I9" s="1">
        <v>589</v>
      </c>
      <c r="J9" s="1">
        <v>180</v>
      </c>
      <c r="K9" s="1">
        <v>424</v>
      </c>
      <c r="L9" s="1">
        <v>231</v>
      </c>
      <c r="M9" s="1">
        <v>713</v>
      </c>
      <c r="N9" s="1">
        <v>403</v>
      </c>
      <c r="O9" s="1">
        <v>202</v>
      </c>
      <c r="P9" s="1">
        <v>234</v>
      </c>
      <c r="Q9" s="1">
        <v>147</v>
      </c>
      <c r="R9" s="1">
        <v>697</v>
      </c>
      <c r="S9" s="1">
        <v>489</v>
      </c>
      <c r="T9" s="1">
        <v>477</v>
      </c>
      <c r="U9" s="1">
        <v>285</v>
      </c>
    </row>
    <row r="10" spans="1:21" ht="21" customHeight="1">
      <c r="A10" s="1" t="s">
        <v>20</v>
      </c>
      <c r="B10" s="1">
        <v>896</v>
      </c>
      <c r="C10" s="1">
        <v>228</v>
      </c>
      <c r="D10" s="1">
        <v>225</v>
      </c>
      <c r="E10" s="1">
        <v>710</v>
      </c>
      <c r="F10" s="1">
        <v>269</v>
      </c>
      <c r="G10" s="1">
        <v>470</v>
      </c>
      <c r="H10" s="1">
        <v>0</v>
      </c>
      <c r="I10" s="1">
        <v>549</v>
      </c>
      <c r="J10" s="1">
        <v>629</v>
      </c>
      <c r="K10" s="1">
        <v>230</v>
      </c>
      <c r="L10" s="1">
        <v>395</v>
      </c>
      <c r="M10" s="1">
        <v>625</v>
      </c>
      <c r="N10" s="1">
        <v>831</v>
      </c>
      <c r="O10" s="1">
        <v>422</v>
      </c>
      <c r="P10" s="1">
        <v>598</v>
      </c>
      <c r="Q10" s="1">
        <v>620</v>
      </c>
      <c r="R10" s="1">
        <v>686</v>
      </c>
      <c r="S10" s="1">
        <v>67</v>
      </c>
      <c r="T10" s="1">
        <v>906</v>
      </c>
      <c r="U10" s="1">
        <v>252</v>
      </c>
    </row>
    <row r="11" spans="1:21" ht="21" customHeight="1">
      <c r="A11" s="1" t="s">
        <v>21</v>
      </c>
      <c r="B11" s="1">
        <v>823</v>
      </c>
      <c r="C11" s="1">
        <v>324</v>
      </c>
      <c r="D11" s="1">
        <v>442</v>
      </c>
      <c r="E11" s="1">
        <v>256</v>
      </c>
      <c r="F11" s="1">
        <v>818</v>
      </c>
      <c r="G11" s="1">
        <v>589</v>
      </c>
      <c r="H11" s="1">
        <v>549</v>
      </c>
      <c r="I11" s="1">
        <v>0</v>
      </c>
      <c r="J11" s="1">
        <v>630</v>
      </c>
      <c r="K11" s="1">
        <v>747</v>
      </c>
      <c r="L11" s="1">
        <v>358</v>
      </c>
      <c r="M11" s="1">
        <v>155</v>
      </c>
      <c r="N11" s="1">
        <v>678</v>
      </c>
      <c r="O11" s="1">
        <v>718</v>
      </c>
      <c r="P11" s="1">
        <v>436</v>
      </c>
      <c r="Q11" s="1">
        <v>738</v>
      </c>
      <c r="R11" s="1">
        <v>136</v>
      </c>
      <c r="S11" s="1">
        <v>488</v>
      </c>
      <c r="T11" s="1">
        <v>723</v>
      </c>
      <c r="U11" s="1">
        <v>633</v>
      </c>
    </row>
    <row r="12" spans="1:21" ht="21" customHeight="1">
      <c r="A12" s="1" t="s">
        <v>22</v>
      </c>
      <c r="B12" s="1">
        <v>286</v>
      </c>
      <c r="C12" s="1">
        <v>562</v>
      </c>
      <c r="D12" s="1">
        <v>725</v>
      </c>
      <c r="E12" s="1">
        <v>490</v>
      </c>
      <c r="F12" s="1">
        <v>755</v>
      </c>
      <c r="G12" s="1">
        <v>180</v>
      </c>
      <c r="H12" s="1">
        <v>629</v>
      </c>
      <c r="I12" s="1">
        <v>630</v>
      </c>
      <c r="J12" s="1">
        <v>0</v>
      </c>
      <c r="K12" s="1">
        <v>602</v>
      </c>
      <c r="L12" s="1">
        <v>320</v>
      </c>
      <c r="M12" s="1">
        <v>778</v>
      </c>
      <c r="N12" s="1">
        <v>235</v>
      </c>
      <c r="O12" s="1">
        <v>381</v>
      </c>
      <c r="P12" s="1">
        <v>194</v>
      </c>
      <c r="Q12" s="1">
        <v>229</v>
      </c>
      <c r="R12" s="1">
        <v>659</v>
      </c>
      <c r="S12" s="1">
        <v>642</v>
      </c>
      <c r="T12" s="1">
        <v>323</v>
      </c>
      <c r="U12" s="1">
        <v>463</v>
      </c>
    </row>
    <row r="13" spans="1:21" ht="21" customHeight="1">
      <c r="A13" s="1" t="s">
        <v>23</v>
      </c>
      <c r="B13" s="1">
        <v>876</v>
      </c>
      <c r="C13" s="1">
        <v>451</v>
      </c>
      <c r="D13" s="1">
        <v>455</v>
      </c>
      <c r="E13" s="1">
        <v>830</v>
      </c>
      <c r="F13" s="1">
        <v>155</v>
      </c>
      <c r="G13" s="1">
        <v>424</v>
      </c>
      <c r="H13" s="1">
        <v>230</v>
      </c>
      <c r="I13" s="1">
        <v>747</v>
      </c>
      <c r="J13" s="1">
        <v>602</v>
      </c>
      <c r="K13" s="1">
        <v>0</v>
      </c>
      <c r="L13" s="1">
        <v>446</v>
      </c>
      <c r="M13" s="1">
        <v>845</v>
      </c>
      <c r="N13" s="1">
        <v>811</v>
      </c>
      <c r="O13" s="1">
        <v>269</v>
      </c>
      <c r="P13" s="1">
        <v>604</v>
      </c>
      <c r="Q13" s="1">
        <v>498</v>
      </c>
      <c r="R13" s="1">
        <v>884</v>
      </c>
      <c r="S13" s="1">
        <v>297</v>
      </c>
      <c r="T13" s="1">
        <v>886</v>
      </c>
      <c r="U13" s="1">
        <v>142</v>
      </c>
    </row>
    <row r="14" spans="1:21" ht="21" customHeight="1">
      <c r="A14" s="1" t="s">
        <v>24</v>
      </c>
      <c r="B14" s="1">
        <v>564</v>
      </c>
      <c r="C14" s="1">
        <v>240</v>
      </c>
      <c r="D14" s="1">
        <v>403</v>
      </c>
      <c r="E14" s="1">
        <v>381</v>
      </c>
      <c r="F14" s="1">
        <v>590</v>
      </c>
      <c r="G14" s="1">
        <v>231</v>
      </c>
      <c r="H14" s="1">
        <v>395</v>
      </c>
      <c r="I14" s="1">
        <v>358</v>
      </c>
      <c r="J14" s="1">
        <v>320</v>
      </c>
      <c r="K14" s="1">
        <v>446</v>
      </c>
      <c r="L14" s="1">
        <v>0</v>
      </c>
      <c r="M14" s="1">
        <v>482</v>
      </c>
      <c r="N14" s="1">
        <v>480</v>
      </c>
      <c r="O14" s="1">
        <v>371</v>
      </c>
      <c r="P14" s="1">
        <v>200</v>
      </c>
      <c r="Q14" s="1">
        <v>380</v>
      </c>
      <c r="R14" s="1">
        <v>488</v>
      </c>
      <c r="S14" s="1">
        <v>341</v>
      </c>
      <c r="T14" s="1">
        <v>555</v>
      </c>
      <c r="U14" s="1">
        <v>303</v>
      </c>
    </row>
    <row r="15" spans="1:21" ht="21" customHeight="1">
      <c r="A15" s="1" t="s">
        <v>25</v>
      </c>
      <c r="B15" s="1">
        <v>971</v>
      </c>
      <c r="C15" s="1">
        <v>416</v>
      </c>
      <c r="D15" s="1">
        <v>452</v>
      </c>
      <c r="E15" s="1">
        <v>369</v>
      </c>
      <c r="F15" s="1">
        <v>894</v>
      </c>
      <c r="G15" s="1">
        <v>713</v>
      </c>
      <c r="H15" s="1">
        <v>625</v>
      </c>
      <c r="I15" s="1">
        <v>155</v>
      </c>
      <c r="J15" s="1">
        <v>778</v>
      </c>
      <c r="K15" s="1">
        <v>845</v>
      </c>
      <c r="L15" s="1">
        <v>482</v>
      </c>
      <c r="M15" s="1">
        <v>0</v>
      </c>
      <c r="N15" s="1">
        <v>827</v>
      </c>
      <c r="O15" s="1">
        <v>827</v>
      </c>
      <c r="P15" s="1">
        <v>584</v>
      </c>
      <c r="Q15" s="1">
        <v>863</v>
      </c>
      <c r="R15" s="1">
        <v>191</v>
      </c>
      <c r="S15" s="1">
        <v>558</v>
      </c>
      <c r="T15" s="1">
        <v>850</v>
      </c>
      <c r="U15" s="1">
        <v>732</v>
      </c>
    </row>
    <row r="16" spans="1:21" ht="21" customHeight="1">
      <c r="A16" s="1" t="s">
        <v>26</v>
      </c>
      <c r="B16" s="1">
        <v>144</v>
      </c>
      <c r="C16" s="1">
        <v>722</v>
      </c>
      <c r="D16" s="1">
        <v>885</v>
      </c>
      <c r="E16" s="1">
        <v>488</v>
      </c>
      <c r="F16" s="1">
        <v>964</v>
      </c>
      <c r="G16" s="1">
        <v>403</v>
      </c>
      <c r="H16" s="1">
        <v>831</v>
      </c>
      <c r="I16" s="1">
        <v>678</v>
      </c>
      <c r="J16" s="1">
        <v>235</v>
      </c>
      <c r="K16" s="1">
        <v>811</v>
      </c>
      <c r="L16" s="1">
        <v>480</v>
      </c>
      <c r="M16" s="1">
        <v>827</v>
      </c>
      <c r="N16" s="1">
        <v>0</v>
      </c>
      <c r="O16" s="1">
        <v>604</v>
      </c>
      <c r="P16" s="1">
        <v>305</v>
      </c>
      <c r="Q16" s="1">
        <v>445</v>
      </c>
      <c r="R16" s="1">
        <v>680</v>
      </c>
      <c r="S16" s="1">
        <v>823</v>
      </c>
      <c r="T16" s="1">
        <v>87</v>
      </c>
      <c r="U16" s="1">
        <v>672</v>
      </c>
    </row>
    <row r="17" spans="1:21" ht="21" customHeight="1">
      <c r="A17" s="1" t="s">
        <v>27</v>
      </c>
      <c r="B17" s="1">
        <v>657</v>
      </c>
      <c r="C17" s="1">
        <v>519</v>
      </c>
      <c r="D17" s="1">
        <v>601</v>
      </c>
      <c r="E17" s="1">
        <v>727</v>
      </c>
      <c r="F17" s="1">
        <v>422</v>
      </c>
      <c r="G17" s="1">
        <v>202</v>
      </c>
      <c r="H17" s="1">
        <v>422</v>
      </c>
      <c r="I17" s="1">
        <v>718</v>
      </c>
      <c r="J17" s="1">
        <v>381</v>
      </c>
      <c r="K17" s="1">
        <v>269</v>
      </c>
      <c r="L17" s="1">
        <v>371</v>
      </c>
      <c r="M17" s="1">
        <v>827</v>
      </c>
      <c r="N17" s="1">
        <v>604</v>
      </c>
      <c r="O17" s="1">
        <v>0</v>
      </c>
      <c r="P17" s="1">
        <v>433</v>
      </c>
      <c r="Q17" s="1">
        <v>229</v>
      </c>
      <c r="R17" s="1">
        <v>854</v>
      </c>
      <c r="S17" s="1">
        <v>452</v>
      </c>
      <c r="T17" s="1">
        <v>678</v>
      </c>
      <c r="U17" s="1">
        <v>171</v>
      </c>
    </row>
    <row r="18" spans="1:21" ht="21" customHeight="1">
      <c r="A18" s="1" t="s">
        <v>28</v>
      </c>
      <c r="B18" s="1">
        <v>426</v>
      </c>
      <c r="C18" s="1">
        <v>438</v>
      </c>
      <c r="D18" s="1">
        <v>601</v>
      </c>
      <c r="E18" s="1">
        <v>295</v>
      </c>
      <c r="F18" s="1">
        <v>757</v>
      </c>
      <c r="G18" s="1">
        <v>234</v>
      </c>
      <c r="H18" s="1">
        <v>598</v>
      </c>
      <c r="I18" s="1">
        <v>436</v>
      </c>
      <c r="J18" s="1">
        <v>194</v>
      </c>
      <c r="K18" s="1">
        <v>604</v>
      </c>
      <c r="L18" s="1">
        <v>200</v>
      </c>
      <c r="M18" s="1">
        <v>584</v>
      </c>
      <c r="N18" s="1">
        <v>305</v>
      </c>
      <c r="O18" s="1">
        <v>433</v>
      </c>
      <c r="P18" s="1">
        <v>0</v>
      </c>
      <c r="Q18" s="1">
        <v>352</v>
      </c>
      <c r="R18" s="1">
        <v>465</v>
      </c>
      <c r="S18" s="1">
        <v>544</v>
      </c>
      <c r="T18" s="1">
        <v>380</v>
      </c>
      <c r="U18" s="1">
        <v>465</v>
      </c>
    </row>
    <row r="19" spans="1:21" ht="21" customHeight="1">
      <c r="A19" s="1" t="s">
        <v>29</v>
      </c>
      <c r="B19" s="1">
        <v>435</v>
      </c>
      <c r="C19" s="1">
        <v>610</v>
      </c>
      <c r="D19" s="1">
        <v>773</v>
      </c>
      <c r="E19" s="1">
        <v>646</v>
      </c>
      <c r="F19" s="1">
        <v>651</v>
      </c>
      <c r="G19" s="1">
        <v>147</v>
      </c>
      <c r="H19" s="1">
        <v>620</v>
      </c>
      <c r="I19" s="1">
        <v>738</v>
      </c>
      <c r="J19" s="1">
        <v>229</v>
      </c>
      <c r="K19" s="1">
        <v>498</v>
      </c>
      <c r="L19" s="1">
        <v>380</v>
      </c>
      <c r="M19" s="1">
        <v>863</v>
      </c>
      <c r="N19" s="1">
        <v>445</v>
      </c>
      <c r="O19" s="1">
        <v>229</v>
      </c>
      <c r="P19" s="1">
        <v>352</v>
      </c>
      <c r="Q19" s="1">
        <v>0</v>
      </c>
      <c r="R19" s="1">
        <v>815</v>
      </c>
      <c r="S19" s="1">
        <v>639</v>
      </c>
      <c r="T19" s="1">
        <v>528</v>
      </c>
      <c r="U19" s="1">
        <v>371</v>
      </c>
    </row>
    <row r="20" spans="1:21" ht="21" customHeight="1">
      <c r="A20" s="1" t="s">
        <v>30</v>
      </c>
      <c r="B20" s="1">
        <v>825</v>
      </c>
      <c r="C20" s="1">
        <v>460</v>
      </c>
      <c r="D20" s="1">
        <v>569</v>
      </c>
      <c r="E20" s="1">
        <v>207</v>
      </c>
      <c r="F20" s="1">
        <v>954</v>
      </c>
      <c r="G20" s="1">
        <v>697</v>
      </c>
      <c r="H20" s="1">
        <v>686</v>
      </c>
      <c r="I20" s="1">
        <v>136</v>
      </c>
      <c r="J20" s="1">
        <v>659</v>
      </c>
      <c r="K20" s="1">
        <v>884</v>
      </c>
      <c r="L20" s="1">
        <v>488</v>
      </c>
      <c r="M20" s="1">
        <v>191</v>
      </c>
      <c r="N20" s="1">
        <v>680</v>
      </c>
      <c r="O20" s="1">
        <v>854</v>
      </c>
      <c r="P20" s="1">
        <v>465</v>
      </c>
      <c r="Q20" s="1">
        <v>815</v>
      </c>
      <c r="R20" s="1">
        <v>0</v>
      </c>
      <c r="S20" s="1">
        <v>625</v>
      </c>
      <c r="T20" s="1">
        <v>689</v>
      </c>
      <c r="U20" s="1">
        <v>770</v>
      </c>
    </row>
    <row r="21" spans="1:21" ht="21" customHeight="1">
      <c r="A21" s="1" t="s">
        <v>31</v>
      </c>
      <c r="B21" s="1">
        <v>908</v>
      </c>
      <c r="C21" s="1">
        <v>167</v>
      </c>
      <c r="D21" s="1">
        <v>158</v>
      </c>
      <c r="E21" s="1">
        <v>649</v>
      </c>
      <c r="F21" s="1">
        <v>336</v>
      </c>
      <c r="G21" s="1">
        <v>489</v>
      </c>
      <c r="H21" s="1">
        <v>67</v>
      </c>
      <c r="I21" s="1">
        <v>488</v>
      </c>
      <c r="J21" s="1">
        <v>642</v>
      </c>
      <c r="K21" s="1">
        <v>297</v>
      </c>
      <c r="L21" s="1">
        <v>341</v>
      </c>
      <c r="M21" s="1">
        <v>558</v>
      </c>
      <c r="N21" s="1">
        <v>823</v>
      </c>
      <c r="O21" s="1">
        <v>452</v>
      </c>
      <c r="P21" s="1">
        <v>544</v>
      </c>
      <c r="Q21" s="1">
        <v>639</v>
      </c>
      <c r="R21" s="1">
        <v>625</v>
      </c>
      <c r="S21" s="1">
        <v>0</v>
      </c>
      <c r="T21" s="1">
        <v>898</v>
      </c>
      <c r="U21" s="1">
        <v>306</v>
      </c>
    </row>
    <row r="22" spans="1:21" ht="21" customHeight="1">
      <c r="A22" s="1" t="s">
        <v>32</v>
      </c>
      <c r="B22" s="1">
        <v>141</v>
      </c>
      <c r="C22" s="1">
        <v>796</v>
      </c>
      <c r="D22" s="1">
        <v>959</v>
      </c>
      <c r="E22" s="1">
        <v>478</v>
      </c>
      <c r="F22" s="1">
        <v>1039</v>
      </c>
      <c r="G22" s="1">
        <v>477</v>
      </c>
      <c r="H22" s="1">
        <v>906</v>
      </c>
      <c r="I22" s="1">
        <v>723</v>
      </c>
      <c r="J22" s="1">
        <v>323</v>
      </c>
      <c r="K22" s="1">
        <v>886</v>
      </c>
      <c r="L22" s="1">
        <v>555</v>
      </c>
      <c r="M22" s="1">
        <v>850</v>
      </c>
      <c r="N22" s="1">
        <v>87</v>
      </c>
      <c r="O22" s="1">
        <v>678</v>
      </c>
      <c r="P22" s="1">
        <v>380</v>
      </c>
      <c r="Q22" s="1">
        <v>528</v>
      </c>
      <c r="R22" s="1">
        <v>689</v>
      </c>
      <c r="S22" s="1">
        <v>898</v>
      </c>
      <c r="T22" s="1">
        <v>0</v>
      </c>
      <c r="U22" s="1">
        <v>747</v>
      </c>
    </row>
    <row r="23" spans="1:21" ht="21" customHeight="1">
      <c r="A23" s="1" t="s">
        <v>33</v>
      </c>
      <c r="B23" s="1">
        <v>737</v>
      </c>
      <c r="C23" s="1">
        <v>379</v>
      </c>
      <c r="D23" s="1">
        <v>456</v>
      </c>
      <c r="E23" s="1">
        <v>687</v>
      </c>
      <c r="F23" s="1">
        <v>296</v>
      </c>
      <c r="G23" s="1">
        <v>285</v>
      </c>
      <c r="H23" s="1">
        <v>252</v>
      </c>
      <c r="I23" s="1">
        <v>633</v>
      </c>
      <c r="J23" s="1">
        <v>463</v>
      </c>
      <c r="K23" s="1">
        <v>142</v>
      </c>
      <c r="L23" s="1">
        <v>303</v>
      </c>
      <c r="M23" s="1">
        <v>732</v>
      </c>
      <c r="N23" s="1">
        <v>672</v>
      </c>
      <c r="O23" s="1">
        <v>171</v>
      </c>
      <c r="P23" s="1">
        <v>465</v>
      </c>
      <c r="Q23" s="1">
        <v>371</v>
      </c>
      <c r="R23" s="1">
        <v>770</v>
      </c>
      <c r="S23" s="1">
        <v>306</v>
      </c>
      <c r="T23" s="1">
        <v>747</v>
      </c>
      <c r="U23" s="1">
        <v>0</v>
      </c>
    </row>
    <row r="24" spans="1:21" ht="2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2026-10-23T16:29:48Z</dcterms:created>
  <dcterms:modified xsi:type="dcterms:W3CDTF">2026-10-23T16:29:48Z</dcterms:modified>
  <cp:category/>
  <cp:contentStatus/>
</cp:coreProperties>
</file>