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886E1443-10E7-44BA-A0F2-93F9D37596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lo" sheetId="1" r:id="rId1"/>
    <sheet name="Datos" sheetId="2" r:id="rId2"/>
  </sheets>
  <definedNames>
    <definedName name="solver_adj" localSheetId="0" hidden="1">Modelo!$B$3:$I$8</definedName>
    <definedName name="solver_eng" localSheetId="0" hidden="1">2</definedName>
    <definedName name="solver_lhs1" localSheetId="0" hidden="1">Modelo!$I$3:$I$8</definedName>
    <definedName name="solver_lhs2" localSheetId="0" hidden="1">Modelo!$B$3:$H$8</definedName>
    <definedName name="solver_lhs3" localSheetId="0" hidden="1">Modelo!$J$3:$J$8</definedName>
    <definedName name="solver_lhs4" localSheetId="0" hidden="1">Modelo!$B$10:$H$10</definedName>
    <definedName name="solver_num" localSheetId="0" hidden="1">4</definedName>
    <definedName name="solver_opt" localSheetId="0" hidden="1">Modelo!$C$17</definedName>
    <definedName name="solver_rel1" localSheetId="0" hidden="1">5</definedName>
    <definedName name="solver_rel2" localSheetId="0" hidden="1">3</definedName>
    <definedName name="solver_rel3" localSheetId="0" hidden="1">1</definedName>
    <definedName name="solver_rel4" localSheetId="0" hidden="1">2</definedName>
    <definedName name="solver_rhs2" localSheetId="0" hidden="1">0</definedName>
    <definedName name="solver_rhs3" localSheetId="0" hidden="1">Modelo!$K$3:$K$8</definedName>
    <definedName name="solver_rhs4" localSheetId="0" hidden="1">Modelo!$B$11:$H$11</definedName>
    <definedName name="solver_rxc1" localSheetId="0" hidden="1">1</definedName>
    <definedName name="solver_rxc2" localSheetId="0" hidden="1">1</definedName>
    <definedName name="solver_rxc3" localSheetId="0" hidden="1">1</definedName>
    <definedName name="solver_rxc4" localSheetId="0" hidden="1">1</definedName>
    <definedName name="solver_rxv" localSheetId="0" hidden="1">1</definedName>
    <definedName name="solver_rxv1" localSheetId="0" hidden="1">1</definedName>
    <definedName name="solver_typ" localSheetId="0" hidden="1">2</definedName>
    <definedName name="solver_val" localSheetId="0" hidden="1">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K9" i="2"/>
  <c r="K8" i="2"/>
  <c r="K7" i="2"/>
  <c r="K6" i="2"/>
  <c r="K5" i="2"/>
  <c r="K4" i="2"/>
  <c r="H11" i="1"/>
  <c r="G11" i="1"/>
  <c r="F11" i="1"/>
  <c r="E11" i="1"/>
  <c r="D11" i="1"/>
  <c r="C11" i="1"/>
  <c r="B11" i="1"/>
  <c r="H10" i="1"/>
  <c r="H12" i="1" s="1"/>
  <c r="G10" i="1"/>
  <c r="G12" i="1" s="1"/>
  <c r="F10" i="1"/>
  <c r="F12" i="1" s="1"/>
  <c r="E10" i="1"/>
  <c r="E12" i="1" s="1"/>
  <c r="D10" i="1"/>
  <c r="D12" i="1" s="1"/>
  <c r="C10" i="1"/>
  <c r="C12" i="1" s="1"/>
  <c r="B10" i="1"/>
  <c r="B12" i="1" s="1"/>
  <c r="N8" i="1"/>
  <c r="M8" i="1"/>
  <c r="K8" i="1"/>
  <c r="J8" i="1"/>
  <c r="N7" i="1"/>
  <c r="M7" i="1"/>
  <c r="K7" i="1"/>
  <c r="J7" i="1"/>
  <c r="N6" i="1"/>
  <c r="M6" i="1"/>
  <c r="K6" i="1"/>
  <c r="J6" i="1"/>
  <c r="N5" i="1"/>
  <c r="M5" i="1"/>
  <c r="K5" i="1"/>
  <c r="J5" i="1"/>
  <c r="N4" i="1"/>
  <c r="M4" i="1"/>
  <c r="K4" i="1"/>
  <c r="J4" i="1"/>
  <c r="N3" i="1"/>
  <c r="C16" i="1" s="1"/>
  <c r="M3" i="1"/>
  <c r="C15" i="1" s="1"/>
  <c r="C17" i="1" s="1"/>
  <c r="C18" i="1" s="1"/>
  <c r="K3" i="1"/>
  <c r="J3" i="1"/>
  <c r="L3" i="1" l="1"/>
  <c r="L4" i="1"/>
  <c r="L5" i="1"/>
  <c r="L6" i="1"/>
  <c r="L7" i="1"/>
  <c r="L8" i="1"/>
</calcChain>
</file>

<file path=xl/sharedStrings.xml><?xml version="1.0" encoding="utf-8"?>
<sst xmlns="http://schemas.openxmlformats.org/spreadsheetml/2006/main" count="67" uniqueCount="38">
  <si>
    <t>Silo</t>
  </si>
  <si>
    <t>G1</t>
  </si>
  <si>
    <t>G2</t>
  </si>
  <si>
    <t>G3</t>
  </si>
  <si>
    <t>G4</t>
  </si>
  <si>
    <t>G5</t>
  </si>
  <si>
    <t>G6</t>
  </si>
  <si>
    <t>G7</t>
  </si>
  <si>
    <t>Abrir (0/1)</t>
  </si>
  <si>
    <t>Enviado</t>
  </si>
  <si>
    <t>Cap. activa</t>
  </si>
  <si>
    <t>Holgura</t>
  </si>
  <si>
    <t>Fijo €/día</t>
  </si>
  <si>
    <t>Transp. €/día</t>
  </si>
  <si>
    <t>S1</t>
  </si>
  <si>
    <t>S2</t>
  </si>
  <si>
    <t>S3</t>
  </si>
  <si>
    <t>S4</t>
  </si>
  <si>
    <t>S5</t>
  </si>
  <si>
    <t>S6</t>
  </si>
  <si>
    <t>Recibido</t>
  </si>
  <si>
    <t>Demanda</t>
  </si>
  <si>
    <t>Diferencia</t>
  </si>
  <si>
    <t>Coste fijo €/día</t>
  </si>
  <si>
    <t>Transporte €/día</t>
  </si>
  <si>
    <t>Total €/día</t>
  </si>
  <si>
    <t>Total 1461 días</t>
  </si>
  <si>
    <t>Variables editables: B4:H9 (quintales/día) e I4:I9 (apertura).</t>
  </si>
  <si>
    <t>Solver: minimizar C18, cambiando B4:I9; método Simplex LP con variables binarias.</t>
  </si>
  <si>
    <t>Restricciones: I4:I9 binarias; B4:H9 &gt;= 0; J4:J9 &lt;= K4:K9; B11:H11 = B12:H12.</t>
  </si>
  <si>
    <t>Fuente: Ejercicio 2 Tema 4 Práctica.pdf, p. 1.</t>
  </si>
  <si>
    <t>Cap. q/día</t>
  </si>
  <si>
    <t>Fijo 4 años €</t>
  </si>
  <si>
    <t>Demanda q/día</t>
  </si>
  <si>
    <t>Coste por quintal, incluida ida y vuelta (€/q)</t>
  </si>
  <si>
    <t>Días horizonte</t>
  </si>
  <si>
    <t>€/quintal/km</t>
  </si>
  <si>
    <t>Ida y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</si>
</sst>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83939E-D9A4-4712-8A9D-034BD9376958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923179277507543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sqref="A1:XFD1"/>
    </sheetView>
  </sheetViews>
  <sheetFormatPr defaultRowHeight="15"/>
  <cols>
    <col min="1" max="1" width="19" customWidth="1"/>
    <col min="2" max="10" width="13" customWidth="1"/>
    <col min="11" max="14" width="17" customWidth="1"/>
  </cols>
  <sheetData>
    <row r="1" spans="1:14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2.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1" customHeight="1">
      <c r="A3" s="1" t="s">
        <v>14</v>
      </c>
      <c r="B3" s="1">
        <v>36</v>
      </c>
      <c r="C3" s="1">
        <v>0</v>
      </c>
      <c r="D3" s="1">
        <v>11</v>
      </c>
      <c r="E3" s="1">
        <v>0</v>
      </c>
      <c r="F3" s="1">
        <v>0</v>
      </c>
      <c r="G3" s="1">
        <v>30</v>
      </c>
      <c r="H3" s="1">
        <v>0</v>
      </c>
      <c r="I3" s="1">
        <v>1</v>
      </c>
      <c r="J3" s="1">
        <f>SUM(B3:H3)</f>
        <v>77</v>
      </c>
      <c r="K3" s="1">
        <f>Datos!I4*I3</f>
        <v>80</v>
      </c>
      <c r="L3" s="1">
        <f>K3-J3</f>
        <v>3</v>
      </c>
      <c r="M3" s="3">
        <f>Datos!K4*I3</f>
        <v>220</v>
      </c>
      <c r="N3" s="3">
        <f>SUMPRODUCT(B3:H3,Datos!B16:H16)</f>
        <v>164.04000000000002</v>
      </c>
    </row>
    <row r="4" spans="1:14" ht="21" customHeight="1">
      <c r="A4" s="1" t="s">
        <v>15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f>SUM(B4:H4)</f>
        <v>0</v>
      </c>
      <c r="K4" s="1">
        <f>Datos!I5*I4</f>
        <v>0</v>
      </c>
      <c r="L4" s="1">
        <f>K4-J4</f>
        <v>0</v>
      </c>
      <c r="M4" s="3">
        <f>Datos!K5*I4</f>
        <v>0</v>
      </c>
      <c r="N4" s="3">
        <f>SUMPRODUCT(B4:H4,Datos!B17:H17)</f>
        <v>0</v>
      </c>
    </row>
    <row r="5" spans="1:14" ht="21" customHeight="1">
      <c r="A5" s="1" t="s">
        <v>16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f>SUM(B5:H5)</f>
        <v>0</v>
      </c>
      <c r="K5" s="1">
        <f>Datos!I6*I5</f>
        <v>0</v>
      </c>
      <c r="L5" s="1">
        <f>K5-J5</f>
        <v>0</v>
      </c>
      <c r="M5" s="3">
        <f>Datos!K6*I5</f>
        <v>0</v>
      </c>
      <c r="N5" s="3">
        <f>SUMPRODUCT(B5:H5,Datos!B18:H18)</f>
        <v>0</v>
      </c>
    </row>
    <row r="6" spans="1:14" ht="21" customHeight="1">
      <c r="A6" s="1" t="s">
        <v>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f>SUM(B6:H6)</f>
        <v>0</v>
      </c>
      <c r="K6" s="1">
        <f>Datos!I7*I6</f>
        <v>0</v>
      </c>
      <c r="L6" s="1">
        <f>K6-J6</f>
        <v>0</v>
      </c>
      <c r="M6" s="3">
        <f>Datos!K7*I6</f>
        <v>0</v>
      </c>
      <c r="N6" s="3">
        <f>SUMPRODUCT(B6:H6,Datos!B19:H19)</f>
        <v>0</v>
      </c>
    </row>
    <row r="7" spans="1:14" ht="21" customHeight="1">
      <c r="A7" s="1" t="s">
        <v>18</v>
      </c>
      <c r="B7" s="1">
        <v>0</v>
      </c>
      <c r="C7" s="1">
        <v>0</v>
      </c>
      <c r="D7" s="1">
        <v>23</v>
      </c>
      <c r="E7" s="1">
        <v>50</v>
      </c>
      <c r="F7" s="1">
        <v>27</v>
      </c>
      <c r="G7" s="1">
        <v>0</v>
      </c>
      <c r="H7" s="1">
        <v>0</v>
      </c>
      <c r="I7" s="1">
        <v>1</v>
      </c>
      <c r="J7" s="1">
        <f>SUM(B7:H7)</f>
        <v>100</v>
      </c>
      <c r="K7" s="1">
        <f>Datos!I8*I7</f>
        <v>100</v>
      </c>
      <c r="L7" s="1">
        <f>K7-J7</f>
        <v>0</v>
      </c>
      <c r="M7" s="3">
        <f>Datos!K8*I7</f>
        <v>240</v>
      </c>
      <c r="N7" s="3">
        <f>SUMPRODUCT(B7:H7,Datos!B20:H20)</f>
        <v>196.08</v>
      </c>
    </row>
    <row r="8" spans="1:14" ht="21" customHeight="1">
      <c r="A8" s="1" t="s">
        <v>19</v>
      </c>
      <c r="B8" s="1">
        <v>0</v>
      </c>
      <c r="C8" s="1">
        <v>42</v>
      </c>
      <c r="D8" s="1">
        <v>0</v>
      </c>
      <c r="E8" s="1">
        <v>0</v>
      </c>
      <c r="F8" s="1">
        <v>0</v>
      </c>
      <c r="G8" s="1">
        <v>0</v>
      </c>
      <c r="H8" s="1">
        <v>43</v>
      </c>
      <c r="I8" s="1">
        <v>1</v>
      </c>
      <c r="J8" s="1">
        <f>SUM(B8:H8)</f>
        <v>85</v>
      </c>
      <c r="K8" s="1">
        <f>Datos!I9*I8</f>
        <v>120</v>
      </c>
      <c r="L8" s="1">
        <f>K8-J8</f>
        <v>35</v>
      </c>
      <c r="M8" s="3">
        <f>Datos!K9*I8</f>
        <v>230</v>
      </c>
      <c r="N8" s="3">
        <f>SUMPRODUCT(B8:H8,Datos!B21:H21)</f>
        <v>126.96000000000001</v>
      </c>
    </row>
    <row r="9" spans="1:14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1" customHeight="1">
      <c r="A10" s="1" t="s">
        <v>20</v>
      </c>
      <c r="B10" s="1">
        <f>SUM(B3:B8)</f>
        <v>36</v>
      </c>
      <c r="C10" s="1">
        <f>SUM(C3:C8)</f>
        <v>42</v>
      </c>
      <c r="D10" s="1">
        <f>SUM(D3:D8)</f>
        <v>34</v>
      </c>
      <c r="E10" s="1">
        <f>SUM(E3:E8)</f>
        <v>50</v>
      </c>
      <c r="F10" s="1">
        <f>SUM(F3:F8)</f>
        <v>27</v>
      </c>
      <c r="G10" s="1">
        <f>SUM(G3:G8)</f>
        <v>30</v>
      </c>
      <c r="H10" s="1">
        <f>SUM(H3:H8)</f>
        <v>43</v>
      </c>
      <c r="I10" s="1"/>
      <c r="J10" s="1"/>
      <c r="K10" s="1"/>
      <c r="L10" s="1"/>
      <c r="M10" s="1"/>
      <c r="N10" s="1"/>
    </row>
    <row r="11" spans="1:14" ht="21" customHeight="1">
      <c r="A11" s="1" t="s">
        <v>21</v>
      </c>
      <c r="B11" s="1">
        <f>Datos!B11</f>
        <v>36</v>
      </c>
      <c r="C11" s="1">
        <f>Datos!C11</f>
        <v>42</v>
      </c>
      <c r="D11" s="1">
        <f>Datos!D11</f>
        <v>34</v>
      </c>
      <c r="E11" s="1">
        <f>Datos!E11</f>
        <v>50</v>
      </c>
      <c r="F11" s="1">
        <f>Datos!F11</f>
        <v>27</v>
      </c>
      <c r="G11" s="1">
        <f>Datos!G11</f>
        <v>30</v>
      </c>
      <c r="H11" s="1">
        <f>Datos!H11</f>
        <v>43</v>
      </c>
      <c r="I11" s="1"/>
      <c r="J11" s="1"/>
      <c r="K11" s="1"/>
      <c r="L11" s="1"/>
      <c r="M11" s="1"/>
      <c r="N11" s="1"/>
    </row>
    <row r="12" spans="1:14" ht="21" customHeight="1">
      <c r="A12" s="1" t="s">
        <v>22</v>
      </c>
      <c r="B12" s="1">
        <f>B10-B11</f>
        <v>0</v>
      </c>
      <c r="C12" s="1">
        <f>C10-C11</f>
        <v>0</v>
      </c>
      <c r="D12" s="1">
        <f>D10-D11</f>
        <v>0</v>
      </c>
      <c r="E12" s="1">
        <f>E10-E11</f>
        <v>0</v>
      </c>
      <c r="F12" s="1">
        <f>F10-F11</f>
        <v>0</v>
      </c>
      <c r="G12" s="1">
        <f>G10-G11</f>
        <v>0</v>
      </c>
      <c r="H12" s="1">
        <f>H10-H11</f>
        <v>0</v>
      </c>
      <c r="I12" s="1"/>
      <c r="J12" s="1"/>
      <c r="K12" s="1"/>
      <c r="L12" s="1"/>
      <c r="M12" s="1"/>
      <c r="N12" s="1"/>
    </row>
    <row r="13" spans="1:14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" customHeight="1">
      <c r="A15" s="1" t="s">
        <v>23</v>
      </c>
      <c r="B15" s="1"/>
      <c r="C15" s="3">
        <f>SUM(M3:M8)</f>
        <v>690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" customHeight="1">
      <c r="A16" s="1" t="s">
        <v>24</v>
      </c>
      <c r="B16" s="1"/>
      <c r="C16" s="3">
        <f>SUM(N3:N8)</f>
        <v>487.08000000000004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1" customHeight="1">
      <c r="A17" s="1" t="s">
        <v>25</v>
      </c>
      <c r="B17" s="1"/>
      <c r="C17" s="3">
        <f>C15+C16</f>
        <v>1177.08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1" customHeight="1">
      <c r="A18" s="1" t="s">
        <v>26</v>
      </c>
      <c r="B18" s="1"/>
      <c r="C18" s="3">
        <f>C17*Datos!B24</f>
        <v>1719713.88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1" customHeight="1">
      <c r="A21" s="1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1" customHeight="1">
      <c r="A23" s="1" t="s">
        <v>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1" customHeight="1">
      <c r="A24" s="1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25"/>
  </sheetData>
  <dataValidations count="1">
    <dataValidation type="whole" sqref="I3:I8" xr:uid="{00000000-0002-0000-0000-000000000000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/>
  </sheetViews>
  <sheetFormatPr defaultRowHeight="15"/>
  <cols>
    <col min="1" max="1" width="22" customWidth="1"/>
    <col min="2" max="11" width="14" customWidth="1"/>
  </cols>
  <sheetData>
    <row r="1" spans="1:11" ht="21" customHeight="1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2.1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31</v>
      </c>
      <c r="J3" s="2" t="s">
        <v>32</v>
      </c>
      <c r="K3" s="2" t="s">
        <v>12</v>
      </c>
    </row>
    <row r="4" spans="1:11" ht="21" customHeight="1">
      <c r="A4" s="1" t="s">
        <v>14</v>
      </c>
      <c r="B4" s="1">
        <v>18</v>
      </c>
      <c r="C4" s="1">
        <v>23</v>
      </c>
      <c r="D4" s="1">
        <v>19</v>
      </c>
      <c r="E4" s="1">
        <v>21</v>
      </c>
      <c r="F4" s="1">
        <v>24</v>
      </c>
      <c r="G4" s="1">
        <v>17</v>
      </c>
      <c r="H4" s="1">
        <v>9</v>
      </c>
      <c r="I4" s="1">
        <v>80</v>
      </c>
      <c r="J4" s="1">
        <v>321420</v>
      </c>
      <c r="K4" s="4">
        <f>J4/$B$24</f>
        <v>220</v>
      </c>
    </row>
    <row r="5" spans="1:11" ht="21" customHeight="1">
      <c r="A5" s="1" t="s">
        <v>15</v>
      </c>
      <c r="B5" s="1">
        <v>21</v>
      </c>
      <c r="C5" s="1">
        <v>18</v>
      </c>
      <c r="D5" s="1">
        <v>17</v>
      </c>
      <c r="E5" s="1">
        <v>23</v>
      </c>
      <c r="F5" s="1">
        <v>11</v>
      </c>
      <c r="G5" s="1">
        <v>18</v>
      </c>
      <c r="H5" s="1">
        <v>20</v>
      </c>
      <c r="I5" s="1">
        <v>90</v>
      </c>
      <c r="J5" s="1">
        <v>350640</v>
      </c>
      <c r="K5" s="4">
        <f>J5/$B$24</f>
        <v>240</v>
      </c>
    </row>
    <row r="6" spans="1:11" ht="21" customHeight="1">
      <c r="A6" s="1" t="s">
        <v>16</v>
      </c>
      <c r="B6" s="1">
        <v>27</v>
      </c>
      <c r="C6" s="1">
        <v>18</v>
      </c>
      <c r="D6" s="1">
        <v>17</v>
      </c>
      <c r="E6" s="1">
        <v>20</v>
      </c>
      <c r="F6" s="1">
        <v>23</v>
      </c>
      <c r="G6" s="1">
        <v>9</v>
      </c>
      <c r="H6" s="1">
        <v>18</v>
      </c>
      <c r="I6" s="1">
        <v>110</v>
      </c>
      <c r="J6" s="1">
        <v>379860</v>
      </c>
      <c r="K6" s="4">
        <f>J6/$B$24</f>
        <v>260</v>
      </c>
    </row>
    <row r="7" spans="1:11" ht="21" customHeight="1">
      <c r="A7" s="1" t="s">
        <v>17</v>
      </c>
      <c r="B7" s="1">
        <v>16</v>
      </c>
      <c r="C7" s="1">
        <v>23</v>
      </c>
      <c r="D7" s="1">
        <v>9</v>
      </c>
      <c r="E7" s="1">
        <v>31</v>
      </c>
      <c r="F7" s="1">
        <v>21</v>
      </c>
      <c r="G7" s="1">
        <v>23</v>
      </c>
      <c r="H7" s="1">
        <v>10</v>
      </c>
      <c r="I7" s="1">
        <v>120</v>
      </c>
      <c r="J7" s="1">
        <v>401775</v>
      </c>
      <c r="K7" s="4">
        <f>J7/$B$24</f>
        <v>275</v>
      </c>
    </row>
    <row r="8" spans="1:11" ht="21" customHeight="1">
      <c r="A8" s="1" t="s">
        <v>18</v>
      </c>
      <c r="B8" s="1">
        <v>31</v>
      </c>
      <c r="C8" s="1">
        <v>20</v>
      </c>
      <c r="D8" s="1">
        <v>18</v>
      </c>
      <c r="E8" s="1">
        <v>19</v>
      </c>
      <c r="F8" s="1">
        <v>10</v>
      </c>
      <c r="G8" s="1">
        <v>17</v>
      </c>
      <c r="H8" s="1">
        <v>18</v>
      </c>
      <c r="I8" s="1">
        <v>100</v>
      </c>
      <c r="J8" s="1">
        <v>350640</v>
      </c>
      <c r="K8" s="4">
        <f>J8/$B$24</f>
        <v>240</v>
      </c>
    </row>
    <row r="9" spans="1:11" ht="21" customHeight="1">
      <c r="A9" s="1" t="s">
        <v>19</v>
      </c>
      <c r="B9" s="1">
        <v>18</v>
      </c>
      <c r="C9" s="1">
        <v>17</v>
      </c>
      <c r="D9" s="1">
        <v>29</v>
      </c>
      <c r="E9" s="1">
        <v>21</v>
      </c>
      <c r="F9" s="1">
        <v>22</v>
      </c>
      <c r="G9" s="1">
        <v>18</v>
      </c>
      <c r="H9" s="1">
        <v>8</v>
      </c>
      <c r="I9" s="1">
        <v>120</v>
      </c>
      <c r="J9" s="1">
        <v>336030</v>
      </c>
      <c r="K9" s="4">
        <f>J9/$B$24</f>
        <v>230</v>
      </c>
    </row>
    <row r="10" spans="1:11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1" customHeight="1">
      <c r="A11" s="1" t="s">
        <v>33</v>
      </c>
      <c r="B11" s="1">
        <v>36</v>
      </c>
      <c r="C11" s="1">
        <v>42</v>
      </c>
      <c r="D11" s="1">
        <v>34</v>
      </c>
      <c r="E11" s="1">
        <v>50</v>
      </c>
      <c r="F11" s="1">
        <v>27</v>
      </c>
      <c r="G11" s="1">
        <v>30</v>
      </c>
      <c r="H11" s="1">
        <v>43</v>
      </c>
      <c r="I11" s="1"/>
      <c r="J11" s="1"/>
      <c r="K11" s="1"/>
    </row>
    <row r="12" spans="1:11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1" customHeight="1">
      <c r="A14" s="1" t="s">
        <v>34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2.1" customHeight="1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1"/>
      <c r="J15" s="1"/>
      <c r="K15" s="1"/>
    </row>
    <row r="16" spans="1:11" ht="21" customHeight="1">
      <c r="A16" s="1" t="s">
        <v>14</v>
      </c>
      <c r="B16" s="4">
        <f>B4*$B$25*$B$26</f>
        <v>2.16</v>
      </c>
      <c r="C16" s="4">
        <f>C4*$B$25*$B$26</f>
        <v>2.76</v>
      </c>
      <c r="D16" s="4">
        <f>D4*$B$25*$B$26</f>
        <v>2.2799999999999998</v>
      </c>
      <c r="E16" s="4">
        <f>E4*$B$25*$B$26</f>
        <v>2.52</v>
      </c>
      <c r="F16" s="4">
        <f>F4*$B$25*$B$26</f>
        <v>2.88</v>
      </c>
      <c r="G16" s="4">
        <f>G4*$B$25*$B$26</f>
        <v>2.04</v>
      </c>
      <c r="H16" s="4">
        <f>H4*$B$25*$B$26</f>
        <v>1.08</v>
      </c>
      <c r="I16" s="1"/>
      <c r="J16" s="1"/>
      <c r="K16" s="1"/>
    </row>
    <row r="17" spans="1:11" ht="21" customHeight="1">
      <c r="A17" s="1" t="s">
        <v>15</v>
      </c>
      <c r="B17" s="4">
        <f>B5*$B$25*$B$26</f>
        <v>2.52</v>
      </c>
      <c r="C17" s="4">
        <f>C5*$B$25*$B$26</f>
        <v>2.16</v>
      </c>
      <c r="D17" s="4">
        <f>D5*$B$25*$B$26</f>
        <v>2.04</v>
      </c>
      <c r="E17" s="4">
        <f>E5*$B$25*$B$26</f>
        <v>2.76</v>
      </c>
      <c r="F17" s="4">
        <f>F5*$B$25*$B$26</f>
        <v>1.3199999999999998</v>
      </c>
      <c r="G17" s="4">
        <f>G5*$B$25*$B$26</f>
        <v>2.16</v>
      </c>
      <c r="H17" s="4">
        <f>H5*$B$25*$B$26</f>
        <v>2.4</v>
      </c>
      <c r="I17" s="1"/>
      <c r="J17" s="1"/>
      <c r="K17" s="1"/>
    </row>
    <row r="18" spans="1:11" ht="21" customHeight="1">
      <c r="A18" s="1" t="s">
        <v>16</v>
      </c>
      <c r="B18" s="4">
        <f>B6*$B$25*$B$26</f>
        <v>3.2399999999999998</v>
      </c>
      <c r="C18" s="4">
        <f>C6*$B$25*$B$26</f>
        <v>2.16</v>
      </c>
      <c r="D18" s="4">
        <f>D6*$B$25*$B$26</f>
        <v>2.04</v>
      </c>
      <c r="E18" s="4">
        <f>E6*$B$25*$B$26</f>
        <v>2.4</v>
      </c>
      <c r="F18" s="4">
        <f>F6*$B$25*$B$26</f>
        <v>2.76</v>
      </c>
      <c r="G18" s="4">
        <f>G6*$B$25*$B$26</f>
        <v>1.08</v>
      </c>
      <c r="H18" s="4">
        <f>H6*$B$25*$B$26</f>
        <v>2.16</v>
      </c>
      <c r="I18" s="1"/>
      <c r="J18" s="1"/>
      <c r="K18" s="1"/>
    </row>
    <row r="19" spans="1:11" ht="21" customHeight="1">
      <c r="A19" s="1" t="s">
        <v>17</v>
      </c>
      <c r="B19" s="4">
        <f>B7*$B$25*$B$26</f>
        <v>1.92</v>
      </c>
      <c r="C19" s="4">
        <f>C7*$B$25*$B$26</f>
        <v>2.76</v>
      </c>
      <c r="D19" s="4">
        <f>D7*$B$25*$B$26</f>
        <v>1.08</v>
      </c>
      <c r="E19" s="4">
        <f>E7*$B$25*$B$26</f>
        <v>3.7199999999999998</v>
      </c>
      <c r="F19" s="4">
        <f>F7*$B$25*$B$26</f>
        <v>2.52</v>
      </c>
      <c r="G19" s="4">
        <f>G7*$B$25*$B$26</f>
        <v>2.76</v>
      </c>
      <c r="H19" s="4">
        <f>H7*$B$25*$B$26</f>
        <v>1.2</v>
      </c>
      <c r="I19" s="1"/>
      <c r="J19" s="1"/>
      <c r="K19" s="1"/>
    </row>
    <row r="20" spans="1:11" ht="21" customHeight="1">
      <c r="A20" s="1" t="s">
        <v>18</v>
      </c>
      <c r="B20" s="4">
        <f>B8*$B$25*$B$26</f>
        <v>3.7199999999999998</v>
      </c>
      <c r="C20" s="4">
        <f>C8*$B$25*$B$26</f>
        <v>2.4</v>
      </c>
      <c r="D20" s="4">
        <f>D8*$B$25*$B$26</f>
        <v>2.16</v>
      </c>
      <c r="E20" s="4">
        <f>E8*$B$25*$B$26</f>
        <v>2.2799999999999998</v>
      </c>
      <c r="F20" s="4">
        <f>F8*$B$25*$B$26</f>
        <v>1.2</v>
      </c>
      <c r="G20" s="4">
        <f>G8*$B$25*$B$26</f>
        <v>2.04</v>
      </c>
      <c r="H20" s="4">
        <f>H8*$B$25*$B$26</f>
        <v>2.16</v>
      </c>
      <c r="I20" s="1"/>
      <c r="J20" s="1"/>
      <c r="K20" s="1"/>
    </row>
    <row r="21" spans="1:11" ht="21" customHeight="1">
      <c r="A21" s="1" t="s">
        <v>19</v>
      </c>
      <c r="B21" s="4">
        <f>B9*$B$25*$B$26</f>
        <v>2.16</v>
      </c>
      <c r="C21" s="4">
        <f>C9*$B$25*$B$26</f>
        <v>2.04</v>
      </c>
      <c r="D21" s="4">
        <f>D9*$B$25*$B$26</f>
        <v>3.48</v>
      </c>
      <c r="E21" s="4">
        <f>E9*$B$25*$B$26</f>
        <v>2.52</v>
      </c>
      <c r="F21" s="4">
        <f>F9*$B$25*$B$26</f>
        <v>2.6399999999999997</v>
      </c>
      <c r="G21" s="4">
        <f>G9*$B$25*$B$26</f>
        <v>2.16</v>
      </c>
      <c r="H21" s="4">
        <f>H9*$B$25*$B$26</f>
        <v>0.96</v>
      </c>
      <c r="I21" s="1"/>
      <c r="J21" s="1"/>
      <c r="K21" s="1"/>
    </row>
    <row r="22" spans="1:11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1" customHeight="1">
      <c r="A24" s="1" t="s">
        <v>35</v>
      </c>
      <c r="B24" s="1">
        <v>1461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21" customHeight="1">
      <c r="A25" s="1" t="s">
        <v>36</v>
      </c>
      <c r="B25" s="4">
        <v>0.06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ht="21" customHeight="1">
      <c r="A26" s="1" t="s">
        <v>37</v>
      </c>
      <c r="B26" s="1">
        <v>2</v>
      </c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2026-10-23T17:08:38Z</dcterms:created>
  <dcterms:modified xsi:type="dcterms:W3CDTF">2026-10-23T17:08:38Z</dcterms:modified>
  <cp:category/>
  <cp:contentStatus/>
</cp:coreProperties>
</file>