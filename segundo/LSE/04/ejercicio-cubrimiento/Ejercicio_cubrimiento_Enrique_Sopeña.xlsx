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microsoft.com/office/2011/relationships/webextensiontaskpanes" Target="xl/webextensions/taskpanes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11"/>
  <workbookPr showInkAnnotation="0" autoCompressPictures="0"/>
  <xr:revisionPtr revIDLastSave="0" documentId="8_{D5F359B0-3839-4FAB-9C88-3F86106905FF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Cubrimiento" sheetId="1" r:id="rId1"/>
  </sheets>
  <definedNames>
    <definedName name="solver_adj" localSheetId="0" hidden="1">Cubrimiento!$B$17:$K$17</definedName>
    <definedName name="solver_eng" localSheetId="0" hidden="1">0</definedName>
    <definedName name="solver_lhs1" localSheetId="0" hidden="1">Cubrimiento!$L$20:$L$39</definedName>
    <definedName name="solver_lhs2" localSheetId="0" hidden="1">Cubrimiento!$B$17:$K$17</definedName>
    <definedName name="solver_neg" localSheetId="0" hidden="1">0</definedName>
    <definedName name="solver_num" localSheetId="0" hidden="1">2</definedName>
    <definedName name="solver_opt" localSheetId="0" hidden="1">Cubrimiento!$H$5</definedName>
    <definedName name="solver_rel1" localSheetId="0" hidden="1">3</definedName>
    <definedName name="solver_rel2" localSheetId="0" hidden="1">5</definedName>
    <definedName name="solver_rhs1" localSheetId="0" hidden="1">Cubrimiento!$M$20:$M$39</definedName>
    <definedName name="solver_rxv" localSheetId="0" hidden="1">1</definedName>
    <definedName name="solver_typ" localSheetId="0" hidden="1">2</definedName>
    <definedName name="solver_val" localSheetId="0" hidden="1">0</definedName>
  </definedNames>
  <calcPr calcId="191028" refMode="R1C1" iterateCount="0" calcOnSave="0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39" i="1" l="1"/>
  <c r="J39" i="1"/>
  <c r="I39" i="1"/>
  <c r="H39" i="1"/>
  <c r="G39" i="1"/>
  <c r="F39" i="1"/>
  <c r="E39" i="1"/>
  <c r="D39" i="1"/>
  <c r="C39" i="1"/>
  <c r="B39" i="1"/>
  <c r="K38" i="1"/>
  <c r="J38" i="1"/>
  <c r="I38" i="1"/>
  <c r="H38" i="1"/>
  <c r="G38" i="1"/>
  <c r="F38" i="1"/>
  <c r="E38" i="1"/>
  <c r="D38" i="1"/>
  <c r="C38" i="1"/>
  <c r="B38" i="1"/>
  <c r="K37" i="1"/>
  <c r="J37" i="1"/>
  <c r="I37" i="1"/>
  <c r="H37" i="1"/>
  <c r="G37" i="1"/>
  <c r="F37" i="1"/>
  <c r="E37" i="1"/>
  <c r="D37" i="1"/>
  <c r="C37" i="1"/>
  <c r="B37" i="1"/>
  <c r="K36" i="1"/>
  <c r="J36" i="1"/>
  <c r="I36" i="1"/>
  <c r="H36" i="1"/>
  <c r="G36" i="1"/>
  <c r="F36" i="1"/>
  <c r="E36" i="1"/>
  <c r="D36" i="1"/>
  <c r="C36" i="1"/>
  <c r="B36" i="1"/>
  <c r="K35" i="1"/>
  <c r="J35" i="1"/>
  <c r="I35" i="1"/>
  <c r="H35" i="1"/>
  <c r="G35" i="1"/>
  <c r="F35" i="1"/>
  <c r="E35" i="1"/>
  <c r="D35" i="1"/>
  <c r="C35" i="1"/>
  <c r="B35" i="1"/>
  <c r="K34" i="1"/>
  <c r="J34" i="1"/>
  <c r="I34" i="1"/>
  <c r="H34" i="1"/>
  <c r="G34" i="1"/>
  <c r="F34" i="1"/>
  <c r="E34" i="1"/>
  <c r="D34" i="1"/>
  <c r="C34" i="1"/>
  <c r="B34" i="1"/>
  <c r="K33" i="1"/>
  <c r="J33" i="1"/>
  <c r="I33" i="1"/>
  <c r="H33" i="1"/>
  <c r="G33" i="1"/>
  <c r="F33" i="1"/>
  <c r="E33" i="1"/>
  <c r="D33" i="1"/>
  <c r="C33" i="1"/>
  <c r="B33" i="1"/>
  <c r="K32" i="1"/>
  <c r="J32" i="1"/>
  <c r="I32" i="1"/>
  <c r="H32" i="1"/>
  <c r="G32" i="1"/>
  <c r="F32" i="1"/>
  <c r="E32" i="1"/>
  <c r="D32" i="1"/>
  <c r="C32" i="1"/>
  <c r="B32" i="1"/>
  <c r="K31" i="1"/>
  <c r="J31" i="1"/>
  <c r="I31" i="1"/>
  <c r="H31" i="1"/>
  <c r="G31" i="1"/>
  <c r="F31" i="1"/>
  <c r="E31" i="1"/>
  <c r="D31" i="1"/>
  <c r="C31" i="1"/>
  <c r="B31" i="1"/>
  <c r="K30" i="1"/>
  <c r="J30" i="1"/>
  <c r="I30" i="1"/>
  <c r="H30" i="1"/>
  <c r="G30" i="1"/>
  <c r="F30" i="1"/>
  <c r="E30" i="1"/>
  <c r="D30" i="1"/>
  <c r="C30" i="1"/>
  <c r="B30" i="1"/>
  <c r="K29" i="1"/>
  <c r="J29" i="1"/>
  <c r="I29" i="1"/>
  <c r="H29" i="1"/>
  <c r="G29" i="1"/>
  <c r="F29" i="1"/>
  <c r="E29" i="1"/>
  <c r="D29" i="1"/>
  <c r="C29" i="1"/>
  <c r="B29" i="1"/>
  <c r="K28" i="1"/>
  <c r="J28" i="1"/>
  <c r="I28" i="1"/>
  <c r="H28" i="1"/>
  <c r="G28" i="1"/>
  <c r="F28" i="1"/>
  <c r="E28" i="1"/>
  <c r="D28" i="1"/>
  <c r="C28" i="1"/>
  <c r="B28" i="1"/>
  <c r="K27" i="1"/>
  <c r="J27" i="1"/>
  <c r="I27" i="1"/>
  <c r="H27" i="1"/>
  <c r="G27" i="1"/>
  <c r="F27" i="1"/>
  <c r="E27" i="1"/>
  <c r="D27" i="1"/>
  <c r="C27" i="1"/>
  <c r="B27" i="1"/>
  <c r="K26" i="1"/>
  <c r="J26" i="1"/>
  <c r="I26" i="1"/>
  <c r="H26" i="1"/>
  <c r="G26" i="1"/>
  <c r="F26" i="1"/>
  <c r="E26" i="1"/>
  <c r="D26" i="1"/>
  <c r="C26" i="1"/>
  <c r="B26" i="1"/>
  <c r="K25" i="1"/>
  <c r="J25" i="1"/>
  <c r="I25" i="1"/>
  <c r="H25" i="1"/>
  <c r="G25" i="1"/>
  <c r="F25" i="1"/>
  <c r="E25" i="1"/>
  <c r="D25" i="1"/>
  <c r="C25" i="1"/>
  <c r="B25" i="1"/>
  <c r="K24" i="1"/>
  <c r="J24" i="1"/>
  <c r="I24" i="1"/>
  <c r="H24" i="1"/>
  <c r="G24" i="1"/>
  <c r="F24" i="1"/>
  <c r="E24" i="1"/>
  <c r="D24" i="1"/>
  <c r="C24" i="1"/>
  <c r="B24" i="1"/>
  <c r="K23" i="1"/>
  <c r="J23" i="1"/>
  <c r="I23" i="1"/>
  <c r="H23" i="1"/>
  <c r="G23" i="1"/>
  <c r="F23" i="1"/>
  <c r="E23" i="1"/>
  <c r="D23" i="1"/>
  <c r="C23" i="1"/>
  <c r="B23" i="1"/>
  <c r="K22" i="1"/>
  <c r="J22" i="1"/>
  <c r="I22" i="1"/>
  <c r="H22" i="1"/>
  <c r="G22" i="1"/>
  <c r="F22" i="1"/>
  <c r="E22" i="1"/>
  <c r="D22" i="1"/>
  <c r="C22" i="1"/>
  <c r="B22" i="1"/>
  <c r="K21" i="1"/>
  <c r="J21" i="1"/>
  <c r="I21" i="1"/>
  <c r="H21" i="1"/>
  <c r="G21" i="1"/>
  <c r="F21" i="1"/>
  <c r="E21" i="1"/>
  <c r="D21" i="1"/>
  <c r="C21" i="1"/>
  <c r="B21" i="1"/>
  <c r="K20" i="1"/>
  <c r="J20" i="1"/>
  <c r="I20" i="1"/>
  <c r="H20" i="1"/>
  <c r="G20" i="1"/>
  <c r="F20" i="1"/>
  <c r="E20" i="1"/>
  <c r="D20" i="1"/>
  <c r="C20" i="1"/>
  <c r="B20" i="1"/>
  <c r="H5" i="1"/>
  <c r="L39" i="1"/>
  <c r="L38" i="1"/>
  <c r="L37" i="1"/>
  <c r="L36" i="1"/>
  <c r="L35" i="1"/>
  <c r="L34" i="1"/>
  <c r="L33" i="1"/>
  <c r="L32" i="1"/>
  <c r="L31" i="1"/>
  <c r="L30" i="1"/>
  <c r="L29" i="1"/>
  <c r="L28" i="1"/>
  <c r="L27" i="1"/>
  <c r="L26" i="1"/>
  <c r="L25" i="1"/>
  <c r="L24" i="1"/>
  <c r="L23" i="1"/>
  <c r="L22" i="1"/>
  <c r="L21" i="1"/>
  <c r="L20" i="1"/>
  <c r="H13" i="1"/>
  <c r="H9" i="1"/>
  <c r="A53" i="1"/>
</calcChain>
</file>

<file path=xl/sharedStrings.xml><?xml version="1.0" encoding="utf-8"?>
<sst xmlns="http://schemas.openxmlformats.org/spreadsheetml/2006/main" count="27" uniqueCount="26">
  <si>
    <t>Ejercicio de cubrimiento</t>
  </si>
  <si>
    <t>Datos del enunciado</t>
  </si>
  <si>
    <t>Punto</t>
  </si>
  <si>
    <t>Sector 1</t>
  </si>
  <si>
    <t>Sector 2</t>
  </si>
  <si>
    <t>Sector 3</t>
  </si>
  <si>
    <t>Sector 4</t>
  </si>
  <si>
    <t>Sector 5</t>
  </si>
  <si>
    <t>Total cámaras</t>
  </si>
  <si>
    <t>Sectores cubiertos</t>
  </si>
  <si>
    <t>Sectores sin cubrir</t>
  </si>
  <si>
    <t>Cámara (0/1)</t>
  </si>
  <si>
    <t>Sector</t>
  </si>
  <si>
    <t>Cobertura</t>
  </si>
  <si>
    <t>Mínimo</t>
  </si>
  <si>
    <t>Modelo</t>
  </si>
  <si>
    <t>xj = 1 si se coloca una cámara en el punto j; xj = 0 en caso contrario.</t>
  </si>
  <si>
    <t>aij = 1 si el punto j cubre el sector i (matriz anterior); aij = 0 en caso contrario.</t>
  </si>
  <si>
    <t>Minimizar Z = SUMA(xj), j = 1,...,10.</t>
  </si>
  <si>
    <t>SUMA(aij*xj) &gt;= 1 para cada sector i = 1,...,20; xj binaria.</t>
  </si>
  <si>
    <t>Solver</t>
  </si>
  <si>
    <t>Objetivo: H5 (Mín). Variables: B17:K17. Restricciones: L20:L39 &gt;= M20:M39; B17:K17 binarias.</t>
  </si>
  <si>
    <t>Método: Simplex LP. Tolerancia de optimalidad de enteros: 0 %.</t>
  </si>
  <si>
    <t>Solución: cámaras en los puntos 3, 4, 6, 7, 8, 9.</t>
  </si>
  <si>
    <t>Modelo resuelto con Solver de Excel online. Solución óptima: 6 cámaras.</t>
  </si>
  <si>
    <t>Fuente: tabla del enunciado «Ejercicio Cubrimiento».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</si>
</sst>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name val="Carlito"/>
    </font>
    <font>
      <sz val="11"/>
      <name val="Arial"/>
    </font>
    <font>
      <b/>
      <sz val="11"/>
      <name val="Arial"/>
    </font>
  </fonts>
  <fills count="3">
    <fill>
      <patternFill patternType="none"/>
    </fill>
    <fill>
      <patternFill patternType="gray125"/>
    </fill>
    <fill>
      <patternFill patternType="solid">
        <fgColor rgb="FF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2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610E5084-9F85-4506-A411-222AF7948F5F}">
  <we:reference id="WA104100404" version="3.0.0.1" store="es-es" storeType="omex"/>
  <we:alternateReferences>
    <we:reference id="WA104100404" version="3.0.0.1" store="es-es" storeType="omex"/>
  </we:alternateReferences>
  <we:properties>
    <we:property name="UniqueID" value="&quot;20269161792164126229&quot;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</we:extLst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55"/>
  <sheetViews>
    <sheetView tabSelected="1" topLeftCell="A37" workbookViewId="0">
      <selection activeCell="A54" sqref="A54"/>
    </sheetView>
  </sheetViews>
  <sheetFormatPr defaultRowHeight="15"/>
  <cols>
    <col min="1" max="1" width="14" customWidth="1"/>
    <col min="2" max="11" width="9" customWidth="1"/>
    <col min="12" max="13" width="14" customWidth="1"/>
  </cols>
  <sheetData>
    <row r="1" spans="1:14" ht="21" customHeight="1">
      <c r="A1" s="2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 ht="21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spans="1:14" ht="21" customHeight="1">
      <c r="A3" s="1" t="s">
        <v>1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</row>
    <row r="4" spans="1:14" ht="21" customHeight="1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1"/>
      <c r="H4" s="2" t="s">
        <v>8</v>
      </c>
      <c r="I4" s="2"/>
      <c r="J4" s="2"/>
      <c r="K4" s="1"/>
      <c r="L4" s="1"/>
      <c r="M4" s="1"/>
      <c r="N4" s="1"/>
    </row>
    <row r="5" spans="1:14" ht="21" customHeight="1">
      <c r="A5" s="1">
        <v>1</v>
      </c>
      <c r="B5" s="1">
        <v>16</v>
      </c>
      <c r="C5" s="1">
        <v>17</v>
      </c>
      <c r="D5" s="1">
        <v>18</v>
      </c>
      <c r="E5" s="1">
        <v>19</v>
      </c>
      <c r="F5" s="1"/>
      <c r="G5" s="1"/>
      <c r="H5" s="1">
        <f>SUM(B17:K17)</f>
        <v>6</v>
      </c>
      <c r="I5" s="1"/>
      <c r="J5" s="1"/>
      <c r="K5" s="1"/>
      <c r="L5" s="1"/>
      <c r="M5" s="1"/>
      <c r="N5" s="1"/>
    </row>
    <row r="6" spans="1:14" ht="21" customHeight="1">
      <c r="A6" s="1">
        <v>2</v>
      </c>
      <c r="B6" s="1">
        <v>17</v>
      </c>
      <c r="C6" s="1">
        <v>18</v>
      </c>
      <c r="D6" s="1">
        <v>19</v>
      </c>
      <c r="E6" s="1">
        <v>20</v>
      </c>
      <c r="F6" s="1"/>
      <c r="G6" s="1"/>
      <c r="H6" s="1"/>
      <c r="I6" s="1"/>
      <c r="J6" s="1"/>
      <c r="K6" s="1"/>
      <c r="L6" s="1"/>
      <c r="M6" s="1"/>
      <c r="N6" s="1"/>
    </row>
    <row r="7" spans="1:14" ht="21" customHeight="1">
      <c r="A7" s="1">
        <v>3</v>
      </c>
      <c r="B7" s="1">
        <v>16</v>
      </c>
      <c r="C7" s="1">
        <v>17</v>
      </c>
      <c r="D7" s="1">
        <v>18</v>
      </c>
      <c r="E7" s="1">
        <v>19</v>
      </c>
      <c r="F7" s="1">
        <v>20</v>
      </c>
      <c r="G7" s="1"/>
      <c r="H7" s="1"/>
      <c r="I7" s="1"/>
      <c r="J7" s="1"/>
      <c r="K7" s="1"/>
      <c r="L7" s="1"/>
      <c r="M7" s="1"/>
      <c r="N7" s="1"/>
    </row>
    <row r="8" spans="1:14" ht="21" customHeight="1">
      <c r="A8" s="1">
        <v>4</v>
      </c>
      <c r="B8" s="1">
        <v>1</v>
      </c>
      <c r="C8" s="1">
        <v>2</v>
      </c>
      <c r="D8" s="1">
        <v>3</v>
      </c>
      <c r="E8" s="1">
        <v>4</v>
      </c>
      <c r="F8" s="1">
        <v>5</v>
      </c>
      <c r="G8" s="1"/>
      <c r="H8" s="1" t="s">
        <v>9</v>
      </c>
      <c r="I8" s="1"/>
      <c r="J8" s="1"/>
      <c r="K8" s="1"/>
      <c r="L8" s="1"/>
      <c r="M8" s="1"/>
      <c r="N8" s="1"/>
    </row>
    <row r="9" spans="1:14" ht="21" customHeight="1">
      <c r="A9" s="1">
        <v>5</v>
      </c>
      <c r="B9" s="1">
        <v>2</v>
      </c>
      <c r="C9" s="1">
        <v>3</v>
      </c>
      <c r="D9" s="1">
        <v>4</v>
      </c>
      <c r="E9" s="1">
        <v>5</v>
      </c>
      <c r="F9" s="1"/>
      <c r="G9" s="1"/>
      <c r="H9" s="1">
        <f>COUNTIF(L20:L39,"&gt;=1")</f>
        <v>20</v>
      </c>
      <c r="I9" s="1"/>
      <c r="J9" s="1"/>
      <c r="K9" s="1"/>
      <c r="L9" s="1"/>
      <c r="M9" s="1"/>
      <c r="N9" s="1"/>
    </row>
    <row r="10" spans="1:14" ht="21" customHeight="1">
      <c r="A10" s="1">
        <v>6</v>
      </c>
      <c r="B10" s="1">
        <v>7</v>
      </c>
      <c r="C10" s="1">
        <v>8</v>
      </c>
      <c r="D10" s="1">
        <v>9</v>
      </c>
      <c r="E10" s="1">
        <v>10</v>
      </c>
      <c r="F10" s="1"/>
      <c r="G10" s="1"/>
      <c r="H10" s="1"/>
      <c r="I10" s="1"/>
      <c r="J10" s="1"/>
      <c r="K10" s="1"/>
      <c r="L10" s="1"/>
      <c r="M10" s="1"/>
      <c r="N10" s="1"/>
    </row>
    <row r="11" spans="1:14" ht="21" customHeight="1">
      <c r="A11" s="1">
        <v>7</v>
      </c>
      <c r="B11" s="1">
        <v>12</v>
      </c>
      <c r="C11" s="1">
        <v>13</v>
      </c>
      <c r="D11" s="1">
        <v>14</v>
      </c>
      <c r="E11" s="1">
        <v>15</v>
      </c>
      <c r="F11" s="1"/>
      <c r="G11" s="1"/>
      <c r="H11" s="1"/>
      <c r="I11" s="1"/>
      <c r="J11" s="1"/>
      <c r="K11" s="1"/>
      <c r="L11" s="1"/>
      <c r="M11" s="1"/>
      <c r="N11" s="1"/>
    </row>
    <row r="12" spans="1:14" ht="21" customHeight="1">
      <c r="A12" s="1">
        <v>8</v>
      </c>
      <c r="B12" s="1">
        <v>6</v>
      </c>
      <c r="C12" s="1">
        <v>7</v>
      </c>
      <c r="D12" s="1">
        <v>8</v>
      </c>
      <c r="E12" s="1">
        <v>9</v>
      </c>
      <c r="F12" s="1"/>
      <c r="G12" s="1"/>
      <c r="H12" s="1" t="s">
        <v>10</v>
      </c>
      <c r="I12" s="1"/>
      <c r="J12" s="1"/>
      <c r="K12" s="1"/>
      <c r="L12" s="1"/>
      <c r="M12" s="1"/>
      <c r="N12" s="1"/>
    </row>
    <row r="13" spans="1:14" ht="21" customHeight="1">
      <c r="A13" s="1">
        <v>9</v>
      </c>
      <c r="B13" s="1">
        <v>11</v>
      </c>
      <c r="C13" s="1">
        <v>12</v>
      </c>
      <c r="D13" s="1">
        <v>14</v>
      </c>
      <c r="E13" s="1">
        <v>15</v>
      </c>
      <c r="F13" s="1"/>
      <c r="G13" s="1"/>
      <c r="H13" s="1">
        <f>COUNTIF(L20:L39,"&lt;1")</f>
        <v>0</v>
      </c>
      <c r="I13" s="1"/>
      <c r="J13" s="1"/>
      <c r="K13" s="1"/>
      <c r="L13" s="1"/>
      <c r="M13" s="1"/>
      <c r="N13" s="1"/>
    </row>
    <row r="14" spans="1:14" ht="21" customHeight="1">
      <c r="A14" s="1">
        <v>10</v>
      </c>
      <c r="B14" s="1">
        <v>7</v>
      </c>
      <c r="C14" s="1">
        <v>8</v>
      </c>
      <c r="D14" s="1">
        <v>9</v>
      </c>
      <c r="E14" s="1">
        <v>13</v>
      </c>
      <c r="F14" s="1">
        <v>14</v>
      </c>
      <c r="G14" s="1"/>
      <c r="H14" s="1"/>
      <c r="I14" s="1"/>
      <c r="J14" s="1"/>
      <c r="K14" s="1"/>
      <c r="L14" s="1"/>
      <c r="M14" s="1"/>
      <c r="N14" s="1"/>
    </row>
    <row r="15" spans="1:14" ht="21" customHeight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</row>
    <row r="16" spans="1:14" ht="21" customHeight="1">
      <c r="A16" s="3" t="s">
        <v>2</v>
      </c>
      <c r="B16" s="3">
        <v>1</v>
      </c>
      <c r="C16" s="3">
        <v>2</v>
      </c>
      <c r="D16" s="3">
        <v>3</v>
      </c>
      <c r="E16" s="3">
        <v>4</v>
      </c>
      <c r="F16" s="3">
        <v>5</v>
      </c>
      <c r="G16" s="3">
        <v>6</v>
      </c>
      <c r="H16" s="3">
        <v>7</v>
      </c>
      <c r="I16" s="3">
        <v>8</v>
      </c>
      <c r="J16" s="3">
        <v>9</v>
      </c>
      <c r="K16" s="3">
        <v>10</v>
      </c>
      <c r="L16" s="1"/>
      <c r="M16" s="1"/>
      <c r="N16" s="1"/>
    </row>
    <row r="17" spans="1:14" ht="21" customHeight="1">
      <c r="A17" s="1" t="s">
        <v>11</v>
      </c>
      <c r="B17" s="1">
        <v>0</v>
      </c>
      <c r="C17" s="1">
        <v>0</v>
      </c>
      <c r="D17" s="1">
        <v>1</v>
      </c>
      <c r="E17" s="1">
        <v>1</v>
      </c>
      <c r="F17" s="1">
        <v>0</v>
      </c>
      <c r="G17" s="1">
        <v>1</v>
      </c>
      <c r="H17" s="1">
        <v>1</v>
      </c>
      <c r="I17" s="1">
        <v>1</v>
      </c>
      <c r="J17" s="1">
        <v>1</v>
      </c>
      <c r="K17" s="1">
        <v>0</v>
      </c>
      <c r="L17" s="1"/>
      <c r="M17" s="1"/>
      <c r="N17" s="1"/>
    </row>
    <row r="18" spans="1:14" ht="21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</row>
    <row r="19" spans="1:14" ht="21" customHeight="1">
      <c r="A19" s="3" t="s">
        <v>12</v>
      </c>
      <c r="B19" s="3">
        <v>1</v>
      </c>
      <c r="C19" s="3">
        <v>2</v>
      </c>
      <c r="D19" s="3">
        <v>3</v>
      </c>
      <c r="E19" s="3">
        <v>4</v>
      </c>
      <c r="F19" s="3">
        <v>5</v>
      </c>
      <c r="G19" s="3">
        <v>6</v>
      </c>
      <c r="H19" s="3">
        <v>7</v>
      </c>
      <c r="I19" s="3">
        <v>8</v>
      </c>
      <c r="J19" s="3">
        <v>9</v>
      </c>
      <c r="K19" s="3">
        <v>10</v>
      </c>
      <c r="L19" s="3" t="s">
        <v>13</v>
      </c>
      <c r="M19" s="3" t="s">
        <v>14</v>
      </c>
      <c r="N19" s="1"/>
    </row>
    <row r="20" spans="1:14" ht="21" customHeight="1">
      <c r="A20" s="1">
        <v>1</v>
      </c>
      <c r="B20" s="1">
        <f>COUNTIF($B$5:$F$5,$A20)</f>
        <v>0</v>
      </c>
      <c r="C20" s="1">
        <f>COUNTIF($B$6:$F$6,$A20)</f>
        <v>0</v>
      </c>
      <c r="D20" s="1">
        <f>COUNTIF($B$7:$F$7,$A20)</f>
        <v>0</v>
      </c>
      <c r="E20" s="1">
        <f>COUNTIF($B$8:$F$8,$A20)</f>
        <v>1</v>
      </c>
      <c r="F20" s="1">
        <f>COUNTIF($B$9:$F$9,$A20)</f>
        <v>0</v>
      </c>
      <c r="G20" s="1">
        <f>COUNTIF($B$10:$F$10,$A20)</f>
        <v>0</v>
      </c>
      <c r="H20" s="1">
        <f>COUNTIF($B$11:$F$11,$A20)</f>
        <v>0</v>
      </c>
      <c r="I20" s="1">
        <f>COUNTIF($B$12:$F$12,$A20)</f>
        <v>0</v>
      </c>
      <c r="J20" s="1">
        <f>COUNTIF($B$13:$F$13,$A20)</f>
        <v>0</v>
      </c>
      <c r="K20" s="1">
        <f>COUNTIF($B$14:$F$14,$A20)</f>
        <v>0</v>
      </c>
      <c r="L20" s="1">
        <f>SUMPRODUCT(B20:K20,$B$17:$K$17)</f>
        <v>1</v>
      </c>
      <c r="M20" s="1">
        <v>1</v>
      </c>
      <c r="N20" s="1"/>
    </row>
    <row r="21" spans="1:14" ht="21" customHeight="1">
      <c r="A21" s="1">
        <v>2</v>
      </c>
      <c r="B21" s="1">
        <f>COUNTIF($B$5:$F$5,$A21)</f>
        <v>0</v>
      </c>
      <c r="C21" s="1">
        <f>COUNTIF($B$6:$F$6,$A21)</f>
        <v>0</v>
      </c>
      <c r="D21" s="1">
        <f>COUNTIF($B$7:$F$7,$A21)</f>
        <v>0</v>
      </c>
      <c r="E21" s="1">
        <f>COUNTIF($B$8:$F$8,$A21)</f>
        <v>1</v>
      </c>
      <c r="F21" s="1">
        <f>COUNTIF($B$9:$F$9,$A21)</f>
        <v>1</v>
      </c>
      <c r="G21" s="1">
        <f>COUNTIF($B$10:$F$10,$A21)</f>
        <v>0</v>
      </c>
      <c r="H21" s="1">
        <f>COUNTIF($B$11:$F$11,$A21)</f>
        <v>0</v>
      </c>
      <c r="I21" s="1">
        <f>COUNTIF($B$12:$F$12,$A21)</f>
        <v>0</v>
      </c>
      <c r="J21" s="1">
        <f>COUNTIF($B$13:$F$13,$A21)</f>
        <v>0</v>
      </c>
      <c r="K21" s="1">
        <f>COUNTIF($B$14:$F$14,$A21)</f>
        <v>0</v>
      </c>
      <c r="L21" s="1">
        <f>SUMPRODUCT(B21:K21,$B$17:$K$17)</f>
        <v>1</v>
      </c>
      <c r="M21" s="1">
        <v>1</v>
      </c>
      <c r="N21" s="1"/>
    </row>
    <row r="22" spans="1:14" ht="21" customHeight="1">
      <c r="A22" s="1">
        <v>3</v>
      </c>
      <c r="B22" s="1">
        <f>COUNTIF($B$5:$F$5,$A22)</f>
        <v>0</v>
      </c>
      <c r="C22" s="1">
        <f>COUNTIF($B$6:$F$6,$A22)</f>
        <v>0</v>
      </c>
      <c r="D22" s="1">
        <f>COUNTIF($B$7:$F$7,$A22)</f>
        <v>0</v>
      </c>
      <c r="E22" s="1">
        <f>COUNTIF($B$8:$F$8,$A22)</f>
        <v>1</v>
      </c>
      <c r="F22" s="1">
        <f>COUNTIF($B$9:$F$9,$A22)</f>
        <v>1</v>
      </c>
      <c r="G22" s="1">
        <f>COUNTIF($B$10:$F$10,$A22)</f>
        <v>0</v>
      </c>
      <c r="H22" s="1">
        <f>COUNTIF($B$11:$F$11,$A22)</f>
        <v>0</v>
      </c>
      <c r="I22" s="1">
        <f>COUNTIF($B$12:$F$12,$A22)</f>
        <v>0</v>
      </c>
      <c r="J22" s="1">
        <f>COUNTIF($B$13:$F$13,$A22)</f>
        <v>0</v>
      </c>
      <c r="K22" s="1">
        <f>COUNTIF($B$14:$F$14,$A22)</f>
        <v>0</v>
      </c>
      <c r="L22" s="1">
        <f>SUMPRODUCT(B22:K22,$B$17:$K$17)</f>
        <v>1</v>
      </c>
      <c r="M22" s="1">
        <v>1</v>
      </c>
      <c r="N22" s="1"/>
    </row>
    <row r="23" spans="1:14" ht="21" customHeight="1">
      <c r="A23" s="1">
        <v>4</v>
      </c>
      <c r="B23" s="1">
        <f>COUNTIF($B$5:$F$5,$A23)</f>
        <v>0</v>
      </c>
      <c r="C23" s="1">
        <f>COUNTIF($B$6:$F$6,$A23)</f>
        <v>0</v>
      </c>
      <c r="D23" s="1">
        <f>COUNTIF($B$7:$F$7,$A23)</f>
        <v>0</v>
      </c>
      <c r="E23" s="1">
        <f>COUNTIF($B$8:$F$8,$A23)</f>
        <v>1</v>
      </c>
      <c r="F23" s="1">
        <f>COUNTIF($B$9:$F$9,$A23)</f>
        <v>1</v>
      </c>
      <c r="G23" s="1">
        <f>COUNTIF($B$10:$F$10,$A23)</f>
        <v>0</v>
      </c>
      <c r="H23" s="1">
        <f>COUNTIF($B$11:$F$11,$A23)</f>
        <v>0</v>
      </c>
      <c r="I23" s="1">
        <f>COUNTIF($B$12:$F$12,$A23)</f>
        <v>0</v>
      </c>
      <c r="J23" s="1">
        <f>COUNTIF($B$13:$F$13,$A23)</f>
        <v>0</v>
      </c>
      <c r="K23" s="1">
        <f>COUNTIF($B$14:$F$14,$A23)</f>
        <v>0</v>
      </c>
      <c r="L23" s="1">
        <f>SUMPRODUCT(B23:K23,$B$17:$K$17)</f>
        <v>1</v>
      </c>
      <c r="M23" s="1">
        <v>1</v>
      </c>
      <c r="N23" s="1"/>
    </row>
    <row r="24" spans="1:14" ht="21" customHeight="1">
      <c r="A24" s="1">
        <v>5</v>
      </c>
      <c r="B24" s="1">
        <f>COUNTIF($B$5:$F$5,$A24)</f>
        <v>0</v>
      </c>
      <c r="C24" s="1">
        <f>COUNTIF($B$6:$F$6,$A24)</f>
        <v>0</v>
      </c>
      <c r="D24" s="1">
        <f>COUNTIF($B$7:$F$7,$A24)</f>
        <v>0</v>
      </c>
      <c r="E24" s="1">
        <f>COUNTIF($B$8:$F$8,$A24)</f>
        <v>1</v>
      </c>
      <c r="F24" s="1">
        <f>COUNTIF($B$9:$F$9,$A24)</f>
        <v>1</v>
      </c>
      <c r="G24" s="1">
        <f>COUNTIF($B$10:$F$10,$A24)</f>
        <v>0</v>
      </c>
      <c r="H24" s="1">
        <f>COUNTIF($B$11:$F$11,$A24)</f>
        <v>0</v>
      </c>
      <c r="I24" s="1">
        <f>COUNTIF($B$12:$F$12,$A24)</f>
        <v>0</v>
      </c>
      <c r="J24" s="1">
        <f>COUNTIF($B$13:$F$13,$A24)</f>
        <v>0</v>
      </c>
      <c r="K24" s="1">
        <f>COUNTIF($B$14:$F$14,$A24)</f>
        <v>0</v>
      </c>
      <c r="L24" s="1">
        <f>SUMPRODUCT(B24:K24,$B$17:$K$17)</f>
        <v>1</v>
      </c>
      <c r="M24" s="1">
        <v>1</v>
      </c>
      <c r="N24" s="1"/>
    </row>
    <row r="25" spans="1:14" ht="21" customHeight="1">
      <c r="A25" s="1">
        <v>6</v>
      </c>
      <c r="B25" s="1">
        <f>COUNTIF($B$5:$F$5,$A25)</f>
        <v>0</v>
      </c>
      <c r="C25" s="1">
        <f>COUNTIF($B$6:$F$6,$A25)</f>
        <v>0</v>
      </c>
      <c r="D25" s="1">
        <f>COUNTIF($B$7:$F$7,$A25)</f>
        <v>0</v>
      </c>
      <c r="E25" s="1">
        <f>COUNTIF($B$8:$F$8,$A25)</f>
        <v>0</v>
      </c>
      <c r="F25" s="1">
        <f>COUNTIF($B$9:$F$9,$A25)</f>
        <v>0</v>
      </c>
      <c r="G25" s="1">
        <f>COUNTIF($B$10:$F$10,$A25)</f>
        <v>0</v>
      </c>
      <c r="H25" s="1">
        <f>COUNTIF($B$11:$F$11,$A25)</f>
        <v>0</v>
      </c>
      <c r="I25" s="1">
        <f>COUNTIF($B$12:$F$12,$A25)</f>
        <v>1</v>
      </c>
      <c r="J25" s="1">
        <f>COUNTIF($B$13:$F$13,$A25)</f>
        <v>0</v>
      </c>
      <c r="K25" s="1">
        <f>COUNTIF($B$14:$F$14,$A25)</f>
        <v>0</v>
      </c>
      <c r="L25" s="1">
        <f>SUMPRODUCT(B25:K25,$B$17:$K$17)</f>
        <v>1</v>
      </c>
      <c r="M25" s="1">
        <v>1</v>
      </c>
      <c r="N25" s="1"/>
    </row>
    <row r="26" spans="1:14" ht="21" customHeight="1">
      <c r="A26" s="1">
        <v>7</v>
      </c>
      <c r="B26" s="1">
        <f>COUNTIF($B$5:$F$5,$A26)</f>
        <v>0</v>
      </c>
      <c r="C26" s="1">
        <f>COUNTIF($B$6:$F$6,$A26)</f>
        <v>0</v>
      </c>
      <c r="D26" s="1">
        <f>COUNTIF($B$7:$F$7,$A26)</f>
        <v>0</v>
      </c>
      <c r="E26" s="1">
        <f>COUNTIF($B$8:$F$8,$A26)</f>
        <v>0</v>
      </c>
      <c r="F26" s="1">
        <f>COUNTIF($B$9:$F$9,$A26)</f>
        <v>0</v>
      </c>
      <c r="G26" s="1">
        <f>COUNTIF($B$10:$F$10,$A26)</f>
        <v>1</v>
      </c>
      <c r="H26" s="1">
        <f>COUNTIF($B$11:$F$11,$A26)</f>
        <v>0</v>
      </c>
      <c r="I26" s="1">
        <f>COUNTIF($B$12:$F$12,$A26)</f>
        <v>1</v>
      </c>
      <c r="J26" s="1">
        <f>COUNTIF($B$13:$F$13,$A26)</f>
        <v>0</v>
      </c>
      <c r="K26" s="1">
        <f>COUNTIF($B$14:$F$14,$A26)</f>
        <v>1</v>
      </c>
      <c r="L26" s="1">
        <f>SUMPRODUCT(B26:K26,$B$17:$K$17)</f>
        <v>2</v>
      </c>
      <c r="M26" s="1">
        <v>1</v>
      </c>
      <c r="N26" s="1"/>
    </row>
    <row r="27" spans="1:14" ht="21" customHeight="1">
      <c r="A27" s="1">
        <v>8</v>
      </c>
      <c r="B27" s="1">
        <f>COUNTIF($B$5:$F$5,$A27)</f>
        <v>0</v>
      </c>
      <c r="C27" s="1">
        <f>COUNTIF($B$6:$F$6,$A27)</f>
        <v>0</v>
      </c>
      <c r="D27" s="1">
        <f>COUNTIF($B$7:$F$7,$A27)</f>
        <v>0</v>
      </c>
      <c r="E27" s="1">
        <f>COUNTIF($B$8:$F$8,$A27)</f>
        <v>0</v>
      </c>
      <c r="F27" s="1">
        <f>COUNTIF($B$9:$F$9,$A27)</f>
        <v>0</v>
      </c>
      <c r="G27" s="1">
        <f>COUNTIF($B$10:$F$10,$A27)</f>
        <v>1</v>
      </c>
      <c r="H27" s="1">
        <f>COUNTIF($B$11:$F$11,$A27)</f>
        <v>0</v>
      </c>
      <c r="I27" s="1">
        <f>COUNTIF($B$12:$F$12,$A27)</f>
        <v>1</v>
      </c>
      <c r="J27" s="1">
        <f>COUNTIF($B$13:$F$13,$A27)</f>
        <v>0</v>
      </c>
      <c r="K27" s="1">
        <f>COUNTIF($B$14:$F$14,$A27)</f>
        <v>1</v>
      </c>
      <c r="L27" s="1">
        <f>SUMPRODUCT(B27:K27,$B$17:$K$17)</f>
        <v>2</v>
      </c>
      <c r="M27" s="1">
        <v>1</v>
      </c>
      <c r="N27" s="1"/>
    </row>
    <row r="28" spans="1:14" ht="21" customHeight="1">
      <c r="A28" s="1">
        <v>9</v>
      </c>
      <c r="B28" s="1">
        <f>COUNTIF($B$5:$F$5,$A28)</f>
        <v>0</v>
      </c>
      <c r="C28" s="1">
        <f>COUNTIF($B$6:$F$6,$A28)</f>
        <v>0</v>
      </c>
      <c r="D28" s="1">
        <f>COUNTIF($B$7:$F$7,$A28)</f>
        <v>0</v>
      </c>
      <c r="E28" s="1">
        <f>COUNTIF($B$8:$F$8,$A28)</f>
        <v>0</v>
      </c>
      <c r="F28" s="1">
        <f>COUNTIF($B$9:$F$9,$A28)</f>
        <v>0</v>
      </c>
      <c r="G28" s="1">
        <f>COUNTIF($B$10:$F$10,$A28)</f>
        <v>1</v>
      </c>
      <c r="H28" s="1">
        <f>COUNTIF($B$11:$F$11,$A28)</f>
        <v>0</v>
      </c>
      <c r="I28" s="1">
        <f>COUNTIF($B$12:$F$12,$A28)</f>
        <v>1</v>
      </c>
      <c r="J28" s="1">
        <f>COUNTIF($B$13:$F$13,$A28)</f>
        <v>0</v>
      </c>
      <c r="K28" s="1">
        <f>COUNTIF($B$14:$F$14,$A28)</f>
        <v>1</v>
      </c>
      <c r="L28" s="1">
        <f>SUMPRODUCT(B28:K28,$B$17:$K$17)</f>
        <v>2</v>
      </c>
      <c r="M28" s="1">
        <v>1</v>
      </c>
      <c r="N28" s="1"/>
    </row>
    <row r="29" spans="1:14" ht="21" customHeight="1">
      <c r="A29" s="1">
        <v>10</v>
      </c>
      <c r="B29" s="1">
        <f>COUNTIF($B$5:$F$5,$A29)</f>
        <v>0</v>
      </c>
      <c r="C29" s="1">
        <f>COUNTIF($B$6:$F$6,$A29)</f>
        <v>0</v>
      </c>
      <c r="D29" s="1">
        <f>COUNTIF($B$7:$F$7,$A29)</f>
        <v>0</v>
      </c>
      <c r="E29" s="1">
        <f>COUNTIF($B$8:$F$8,$A29)</f>
        <v>0</v>
      </c>
      <c r="F29" s="1">
        <f>COUNTIF($B$9:$F$9,$A29)</f>
        <v>0</v>
      </c>
      <c r="G29" s="1">
        <f>COUNTIF($B$10:$F$10,$A29)</f>
        <v>1</v>
      </c>
      <c r="H29" s="1">
        <f>COUNTIF($B$11:$F$11,$A29)</f>
        <v>0</v>
      </c>
      <c r="I29" s="1">
        <f>COUNTIF($B$12:$F$12,$A29)</f>
        <v>0</v>
      </c>
      <c r="J29" s="1">
        <f>COUNTIF($B$13:$F$13,$A29)</f>
        <v>0</v>
      </c>
      <c r="K29" s="1">
        <f>COUNTIF($B$14:$F$14,$A29)</f>
        <v>0</v>
      </c>
      <c r="L29" s="1">
        <f>SUMPRODUCT(B29:K29,$B$17:$K$17)</f>
        <v>1</v>
      </c>
      <c r="M29" s="1">
        <v>1</v>
      </c>
      <c r="N29" s="1"/>
    </row>
    <row r="30" spans="1:14" ht="21" customHeight="1">
      <c r="A30" s="1">
        <v>11</v>
      </c>
      <c r="B30" s="1">
        <f>COUNTIF($B$5:$F$5,$A30)</f>
        <v>0</v>
      </c>
      <c r="C30" s="1">
        <f>COUNTIF($B$6:$F$6,$A30)</f>
        <v>0</v>
      </c>
      <c r="D30" s="1">
        <f>COUNTIF($B$7:$F$7,$A30)</f>
        <v>0</v>
      </c>
      <c r="E30" s="1">
        <f>COUNTIF($B$8:$F$8,$A30)</f>
        <v>0</v>
      </c>
      <c r="F30" s="1">
        <f>COUNTIF($B$9:$F$9,$A30)</f>
        <v>0</v>
      </c>
      <c r="G30" s="1">
        <f>COUNTIF($B$10:$F$10,$A30)</f>
        <v>0</v>
      </c>
      <c r="H30" s="1">
        <f>COUNTIF($B$11:$F$11,$A30)</f>
        <v>0</v>
      </c>
      <c r="I30" s="1">
        <f>COUNTIF($B$12:$F$12,$A30)</f>
        <v>0</v>
      </c>
      <c r="J30" s="1">
        <f>COUNTIF($B$13:$F$13,$A30)</f>
        <v>1</v>
      </c>
      <c r="K30" s="1">
        <f>COUNTIF($B$14:$F$14,$A30)</f>
        <v>0</v>
      </c>
      <c r="L30" s="1">
        <f>SUMPRODUCT(B30:K30,$B$17:$K$17)</f>
        <v>1</v>
      </c>
      <c r="M30" s="1">
        <v>1</v>
      </c>
      <c r="N30" s="1"/>
    </row>
    <row r="31" spans="1:14" ht="21" customHeight="1">
      <c r="A31" s="1">
        <v>12</v>
      </c>
      <c r="B31" s="1">
        <f>COUNTIF($B$5:$F$5,$A31)</f>
        <v>0</v>
      </c>
      <c r="C31" s="1">
        <f>COUNTIF($B$6:$F$6,$A31)</f>
        <v>0</v>
      </c>
      <c r="D31" s="1">
        <f>COUNTIF($B$7:$F$7,$A31)</f>
        <v>0</v>
      </c>
      <c r="E31" s="1">
        <f>COUNTIF($B$8:$F$8,$A31)</f>
        <v>0</v>
      </c>
      <c r="F31" s="1">
        <f>COUNTIF($B$9:$F$9,$A31)</f>
        <v>0</v>
      </c>
      <c r="G31" s="1">
        <f>COUNTIF($B$10:$F$10,$A31)</f>
        <v>0</v>
      </c>
      <c r="H31" s="1">
        <f>COUNTIF($B$11:$F$11,$A31)</f>
        <v>1</v>
      </c>
      <c r="I31" s="1">
        <f>COUNTIF($B$12:$F$12,$A31)</f>
        <v>0</v>
      </c>
      <c r="J31" s="1">
        <f>COUNTIF($B$13:$F$13,$A31)</f>
        <v>1</v>
      </c>
      <c r="K31" s="1">
        <f>COUNTIF($B$14:$F$14,$A31)</f>
        <v>0</v>
      </c>
      <c r="L31" s="1">
        <f>SUMPRODUCT(B31:K31,$B$17:$K$17)</f>
        <v>2</v>
      </c>
      <c r="M31" s="1">
        <v>1</v>
      </c>
      <c r="N31" s="1"/>
    </row>
    <row r="32" spans="1:14" ht="21" customHeight="1">
      <c r="A32" s="1">
        <v>13</v>
      </c>
      <c r="B32" s="1">
        <f>COUNTIF($B$5:$F$5,$A32)</f>
        <v>0</v>
      </c>
      <c r="C32" s="1">
        <f>COUNTIF($B$6:$F$6,$A32)</f>
        <v>0</v>
      </c>
      <c r="D32" s="1">
        <f>COUNTIF($B$7:$F$7,$A32)</f>
        <v>0</v>
      </c>
      <c r="E32" s="1">
        <f>COUNTIF($B$8:$F$8,$A32)</f>
        <v>0</v>
      </c>
      <c r="F32" s="1">
        <f>COUNTIF($B$9:$F$9,$A32)</f>
        <v>0</v>
      </c>
      <c r="G32" s="1">
        <f>COUNTIF($B$10:$F$10,$A32)</f>
        <v>0</v>
      </c>
      <c r="H32" s="1">
        <f>COUNTIF($B$11:$F$11,$A32)</f>
        <v>1</v>
      </c>
      <c r="I32" s="1">
        <f>COUNTIF($B$12:$F$12,$A32)</f>
        <v>0</v>
      </c>
      <c r="J32" s="1">
        <f>COUNTIF($B$13:$F$13,$A32)</f>
        <v>0</v>
      </c>
      <c r="K32" s="1">
        <f>COUNTIF($B$14:$F$14,$A32)</f>
        <v>1</v>
      </c>
      <c r="L32" s="1">
        <f>SUMPRODUCT(B32:K32,$B$17:$K$17)</f>
        <v>1</v>
      </c>
      <c r="M32" s="1">
        <v>1</v>
      </c>
      <c r="N32" s="1"/>
    </row>
    <row r="33" spans="1:14" ht="21" customHeight="1">
      <c r="A33" s="1">
        <v>14</v>
      </c>
      <c r="B33" s="1">
        <f>COUNTIF($B$5:$F$5,$A33)</f>
        <v>0</v>
      </c>
      <c r="C33" s="1">
        <f>COUNTIF($B$6:$F$6,$A33)</f>
        <v>0</v>
      </c>
      <c r="D33" s="1">
        <f>COUNTIF($B$7:$F$7,$A33)</f>
        <v>0</v>
      </c>
      <c r="E33" s="1">
        <f>COUNTIF($B$8:$F$8,$A33)</f>
        <v>0</v>
      </c>
      <c r="F33" s="1">
        <f>COUNTIF($B$9:$F$9,$A33)</f>
        <v>0</v>
      </c>
      <c r="G33" s="1">
        <f>COUNTIF($B$10:$F$10,$A33)</f>
        <v>0</v>
      </c>
      <c r="H33" s="1">
        <f>COUNTIF($B$11:$F$11,$A33)</f>
        <v>1</v>
      </c>
      <c r="I33" s="1">
        <f>COUNTIF($B$12:$F$12,$A33)</f>
        <v>0</v>
      </c>
      <c r="J33" s="1">
        <f>COUNTIF($B$13:$F$13,$A33)</f>
        <v>1</v>
      </c>
      <c r="K33" s="1">
        <f>COUNTIF($B$14:$F$14,$A33)</f>
        <v>1</v>
      </c>
      <c r="L33" s="1">
        <f>SUMPRODUCT(B33:K33,$B$17:$K$17)</f>
        <v>2</v>
      </c>
      <c r="M33" s="1">
        <v>1</v>
      </c>
      <c r="N33" s="1"/>
    </row>
    <row r="34" spans="1:14" ht="21" customHeight="1">
      <c r="A34" s="1">
        <v>15</v>
      </c>
      <c r="B34" s="1">
        <f>COUNTIF($B$5:$F$5,$A34)</f>
        <v>0</v>
      </c>
      <c r="C34" s="1">
        <f>COUNTIF($B$6:$F$6,$A34)</f>
        <v>0</v>
      </c>
      <c r="D34" s="1">
        <f>COUNTIF($B$7:$F$7,$A34)</f>
        <v>0</v>
      </c>
      <c r="E34" s="1">
        <f>COUNTIF($B$8:$F$8,$A34)</f>
        <v>0</v>
      </c>
      <c r="F34" s="1">
        <f>COUNTIF($B$9:$F$9,$A34)</f>
        <v>0</v>
      </c>
      <c r="G34" s="1">
        <f>COUNTIF($B$10:$F$10,$A34)</f>
        <v>0</v>
      </c>
      <c r="H34" s="1">
        <f>COUNTIF($B$11:$F$11,$A34)</f>
        <v>1</v>
      </c>
      <c r="I34" s="1">
        <f>COUNTIF($B$12:$F$12,$A34)</f>
        <v>0</v>
      </c>
      <c r="J34" s="1">
        <f>COUNTIF($B$13:$F$13,$A34)</f>
        <v>1</v>
      </c>
      <c r="K34" s="1">
        <f>COUNTIF($B$14:$F$14,$A34)</f>
        <v>0</v>
      </c>
      <c r="L34" s="1">
        <f>SUMPRODUCT(B34:K34,$B$17:$K$17)</f>
        <v>2</v>
      </c>
      <c r="M34" s="1">
        <v>1</v>
      </c>
      <c r="N34" s="1"/>
    </row>
    <row r="35" spans="1:14" ht="21" customHeight="1">
      <c r="A35" s="1">
        <v>16</v>
      </c>
      <c r="B35" s="1">
        <f>COUNTIF($B$5:$F$5,$A35)</f>
        <v>1</v>
      </c>
      <c r="C35" s="1">
        <f>COUNTIF($B$6:$F$6,$A35)</f>
        <v>0</v>
      </c>
      <c r="D35" s="1">
        <f>COUNTIF($B$7:$F$7,$A35)</f>
        <v>1</v>
      </c>
      <c r="E35" s="1">
        <f>COUNTIF($B$8:$F$8,$A35)</f>
        <v>0</v>
      </c>
      <c r="F35" s="1">
        <f>COUNTIF($B$9:$F$9,$A35)</f>
        <v>0</v>
      </c>
      <c r="G35" s="1">
        <f>COUNTIF($B$10:$F$10,$A35)</f>
        <v>0</v>
      </c>
      <c r="H35" s="1">
        <f>COUNTIF($B$11:$F$11,$A35)</f>
        <v>0</v>
      </c>
      <c r="I35" s="1">
        <f>COUNTIF($B$12:$F$12,$A35)</f>
        <v>0</v>
      </c>
      <c r="J35" s="1">
        <f>COUNTIF($B$13:$F$13,$A35)</f>
        <v>0</v>
      </c>
      <c r="K35" s="1">
        <f>COUNTIF($B$14:$F$14,$A35)</f>
        <v>0</v>
      </c>
      <c r="L35" s="1">
        <f>SUMPRODUCT(B35:K35,$B$17:$K$17)</f>
        <v>1</v>
      </c>
      <c r="M35" s="1">
        <v>1</v>
      </c>
      <c r="N35" s="1"/>
    </row>
    <row r="36" spans="1:14" ht="21" customHeight="1">
      <c r="A36" s="1">
        <v>17</v>
      </c>
      <c r="B36" s="1">
        <f>COUNTIF($B$5:$F$5,$A36)</f>
        <v>1</v>
      </c>
      <c r="C36" s="1">
        <f>COUNTIF($B$6:$F$6,$A36)</f>
        <v>1</v>
      </c>
      <c r="D36" s="1">
        <f>COUNTIF($B$7:$F$7,$A36)</f>
        <v>1</v>
      </c>
      <c r="E36" s="1">
        <f>COUNTIF($B$8:$F$8,$A36)</f>
        <v>0</v>
      </c>
      <c r="F36" s="1">
        <f>COUNTIF($B$9:$F$9,$A36)</f>
        <v>0</v>
      </c>
      <c r="G36" s="1">
        <f>COUNTIF($B$10:$F$10,$A36)</f>
        <v>0</v>
      </c>
      <c r="H36" s="1">
        <f>COUNTIF($B$11:$F$11,$A36)</f>
        <v>0</v>
      </c>
      <c r="I36" s="1">
        <f>COUNTIF($B$12:$F$12,$A36)</f>
        <v>0</v>
      </c>
      <c r="J36" s="1">
        <f>COUNTIF($B$13:$F$13,$A36)</f>
        <v>0</v>
      </c>
      <c r="K36" s="1">
        <f>COUNTIF($B$14:$F$14,$A36)</f>
        <v>0</v>
      </c>
      <c r="L36" s="1">
        <f>SUMPRODUCT(B36:K36,$B$17:$K$17)</f>
        <v>1</v>
      </c>
      <c r="M36" s="1">
        <v>1</v>
      </c>
      <c r="N36" s="1"/>
    </row>
    <row r="37" spans="1:14" ht="21" customHeight="1">
      <c r="A37" s="1">
        <v>18</v>
      </c>
      <c r="B37" s="1">
        <f>COUNTIF($B$5:$F$5,$A37)</f>
        <v>1</v>
      </c>
      <c r="C37" s="1">
        <f>COUNTIF($B$6:$F$6,$A37)</f>
        <v>1</v>
      </c>
      <c r="D37" s="1">
        <f>COUNTIF($B$7:$F$7,$A37)</f>
        <v>1</v>
      </c>
      <c r="E37" s="1">
        <f>COUNTIF($B$8:$F$8,$A37)</f>
        <v>0</v>
      </c>
      <c r="F37" s="1">
        <f>COUNTIF($B$9:$F$9,$A37)</f>
        <v>0</v>
      </c>
      <c r="G37" s="1">
        <f>COUNTIF($B$10:$F$10,$A37)</f>
        <v>0</v>
      </c>
      <c r="H37" s="1">
        <f>COUNTIF($B$11:$F$11,$A37)</f>
        <v>0</v>
      </c>
      <c r="I37" s="1">
        <f>COUNTIF($B$12:$F$12,$A37)</f>
        <v>0</v>
      </c>
      <c r="J37" s="1">
        <f>COUNTIF($B$13:$F$13,$A37)</f>
        <v>0</v>
      </c>
      <c r="K37" s="1">
        <f>COUNTIF($B$14:$F$14,$A37)</f>
        <v>0</v>
      </c>
      <c r="L37" s="1">
        <f>SUMPRODUCT(B37:K37,$B$17:$K$17)</f>
        <v>1</v>
      </c>
      <c r="M37" s="1">
        <v>1</v>
      </c>
      <c r="N37" s="1"/>
    </row>
    <row r="38" spans="1:14" ht="21" customHeight="1">
      <c r="A38" s="1">
        <v>19</v>
      </c>
      <c r="B38" s="1">
        <f>COUNTIF($B$5:$F$5,$A38)</f>
        <v>1</v>
      </c>
      <c r="C38" s="1">
        <f>COUNTIF($B$6:$F$6,$A38)</f>
        <v>1</v>
      </c>
      <c r="D38" s="1">
        <f>COUNTIF($B$7:$F$7,$A38)</f>
        <v>1</v>
      </c>
      <c r="E38" s="1">
        <f>COUNTIF($B$8:$F$8,$A38)</f>
        <v>0</v>
      </c>
      <c r="F38" s="1">
        <f>COUNTIF($B$9:$F$9,$A38)</f>
        <v>0</v>
      </c>
      <c r="G38" s="1">
        <f>COUNTIF($B$10:$F$10,$A38)</f>
        <v>0</v>
      </c>
      <c r="H38" s="1">
        <f>COUNTIF($B$11:$F$11,$A38)</f>
        <v>0</v>
      </c>
      <c r="I38" s="1">
        <f>COUNTIF($B$12:$F$12,$A38)</f>
        <v>0</v>
      </c>
      <c r="J38" s="1">
        <f>COUNTIF($B$13:$F$13,$A38)</f>
        <v>0</v>
      </c>
      <c r="K38" s="1">
        <f>COUNTIF($B$14:$F$14,$A38)</f>
        <v>0</v>
      </c>
      <c r="L38" s="1">
        <f>SUMPRODUCT(B38:K38,$B$17:$K$17)</f>
        <v>1</v>
      </c>
      <c r="M38" s="1">
        <v>1</v>
      </c>
      <c r="N38" s="1"/>
    </row>
    <row r="39" spans="1:14" ht="21" customHeight="1">
      <c r="A39" s="1">
        <v>20</v>
      </c>
      <c r="B39" s="1">
        <f>COUNTIF($B$5:$F$5,$A39)</f>
        <v>0</v>
      </c>
      <c r="C39" s="1">
        <f>COUNTIF($B$6:$F$6,$A39)</f>
        <v>1</v>
      </c>
      <c r="D39" s="1">
        <f>COUNTIF($B$7:$F$7,$A39)</f>
        <v>1</v>
      </c>
      <c r="E39" s="1">
        <f>COUNTIF($B$8:$F$8,$A39)</f>
        <v>0</v>
      </c>
      <c r="F39" s="1">
        <f>COUNTIF($B$9:$F$9,$A39)</f>
        <v>0</v>
      </c>
      <c r="G39" s="1">
        <f>COUNTIF($B$10:$F$10,$A39)</f>
        <v>0</v>
      </c>
      <c r="H39" s="1">
        <f>COUNTIF($B$11:$F$11,$A39)</f>
        <v>0</v>
      </c>
      <c r="I39" s="1">
        <f>COUNTIF($B$12:$F$12,$A39)</f>
        <v>0</v>
      </c>
      <c r="J39" s="1">
        <f>COUNTIF($B$13:$F$13,$A39)</f>
        <v>0</v>
      </c>
      <c r="K39" s="1">
        <f>COUNTIF($B$14:$F$14,$A39)</f>
        <v>0</v>
      </c>
      <c r="L39" s="1">
        <f>SUMPRODUCT(B39:K39,$B$17:$K$17)</f>
        <v>1</v>
      </c>
      <c r="M39" s="1">
        <v>1</v>
      </c>
      <c r="N39" s="1"/>
    </row>
    <row r="40" spans="1:14" ht="21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</row>
    <row r="41" spans="1:14" ht="21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</row>
    <row r="42" spans="1:14" ht="21" customHeight="1">
      <c r="A42" s="2" t="s">
        <v>15</v>
      </c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</row>
    <row r="43" spans="1:14" ht="21" customHeight="1">
      <c r="A43" s="1" t="s">
        <v>16</v>
      </c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</row>
    <row r="44" spans="1:14" ht="21" customHeight="1">
      <c r="A44" s="1" t="s">
        <v>17</v>
      </c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</row>
    <row r="45" spans="1:14" ht="21" customHeight="1">
      <c r="A45" s="1" t="s">
        <v>18</v>
      </c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</row>
    <row r="46" spans="1:14" ht="21" customHeight="1">
      <c r="A46" s="1" t="s">
        <v>19</v>
      </c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</row>
    <row r="47" spans="1:14" ht="21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</row>
    <row r="48" spans="1:14" ht="21" customHeight="1">
      <c r="A48" s="2" t="s">
        <v>20</v>
      </c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</row>
    <row r="49" spans="1:14" ht="21" customHeight="1">
      <c r="A49" s="1" t="s">
        <v>21</v>
      </c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</row>
    <row r="50" spans="1:14" ht="21" customHeight="1">
      <c r="A50" s="1" t="s">
        <v>22</v>
      </c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</row>
    <row r="51" spans="1:14" ht="21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</row>
    <row r="52" spans="1:14" ht="21" customHeight="1">
      <c r="A52" s="1" t="s">
        <v>23</v>
      </c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</row>
    <row r="53" spans="1:14" ht="21" customHeight="1">
      <c r="A53" s="1" t="str">
        <f>"Se necesitan "&amp;H5&amp;" cámaras y quedan cubiertos los "&amp;H9&amp;" sectores."</f>
        <v>Se necesitan 6 cámaras y quedan cubiertos los 20 sectores.</v>
      </c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</row>
    <row r="54" spans="1:14" ht="21" customHeight="1">
      <c r="A54" s="1" t="s">
        <v>24</v>
      </c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</row>
    <row r="55" spans="1:14" ht="21" customHeight="1">
      <c r="A55" s="1" t="s">
        <v>25</v>
      </c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</row>
  </sheetData>
  <dataValidations count="1">
    <dataValidation type="list" sqref="B17:K17" xr:uid="{00000000-0002-0000-0000-000000000000}">
      <formula1>"0,1"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2026-10-16T15:20:58Z</dcterms:created>
  <dcterms:modified xsi:type="dcterms:W3CDTF">2026-10-16T15:28:26Z</dcterms:modified>
  <cp:category/>
  <cp:contentStatus/>
</cp:coreProperties>
</file>